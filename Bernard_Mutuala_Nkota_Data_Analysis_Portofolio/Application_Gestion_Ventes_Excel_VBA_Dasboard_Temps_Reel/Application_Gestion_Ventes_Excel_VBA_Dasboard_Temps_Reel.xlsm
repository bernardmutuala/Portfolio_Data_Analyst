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pplication_Gestion_Ventes_Excel_VBA_Dasboard_Temps_Reel\"/>
    </mc:Choice>
  </mc:AlternateContent>
  <xr:revisionPtr revIDLastSave="0" documentId="13_ncr:1_{471A01E2-B53B-4B81-AF14-B65B876E77D0}" xr6:coauthVersionLast="47" xr6:coauthVersionMax="47" xr10:uidLastSave="{00000000-0000-0000-0000-000000000000}"/>
  <bookViews>
    <workbookView xWindow="-120" yWindow="-120" windowWidth="20730" windowHeight="11160" firstSheet="9" activeTab="11" xr2:uid="{A36E29EA-1455-43A4-AA8C-8A50CF721E6F}"/>
  </bookViews>
  <sheets>
    <sheet name="Accueil" sheetId="11" state="hidden" r:id="rId1"/>
    <sheet name="Utilisateurs" sheetId="9" state="veryHidden" r:id="rId2"/>
    <sheet name="Categories" sheetId="2" state="veryHidden" r:id="rId3"/>
    <sheet name="Produits" sheetId="1" state="veryHidden" r:id="rId4"/>
    <sheet name="Vendeurs" sheetId="4" state="veryHidden" r:id="rId5"/>
    <sheet name="Clients" sheetId="3" state="veryHidden" r:id="rId6"/>
    <sheet name="Commandes" sheetId="5" state="veryHidden" r:id="rId7"/>
    <sheet name="Ligne_Commande" sheetId="6" state="veryHidden" r:id="rId8"/>
    <sheet name="Facture" sheetId="8" state="veryHidden" r:id="rId9"/>
    <sheet name="Source_Données" sheetId="17" r:id="rId10"/>
    <sheet name="TCD" sheetId="20" r:id="rId11"/>
    <sheet name="Dashboard" sheetId="10" r:id="rId12"/>
    <sheet name="Source_données_copiées" sheetId="18" state="veryHidden" r:id="rId13"/>
    <sheet name="Adresses" sheetId="19" state="veryHidden" r:id="rId14"/>
  </sheets>
  <definedNames>
    <definedName name="DonnéesExternes_1" localSheetId="13" hidden="1">Adresses!$A$1:$C$184</definedName>
    <definedName name="Segment_Année_vente">#N/A</definedName>
    <definedName name="Segment_Categorie_Produit">#N/A</definedName>
    <definedName name="Segment_Commune_Client">#N/A</definedName>
    <definedName name="Segment_District_Client">#N/A</definedName>
    <definedName name="Segment_Etat_Données">#N/A</definedName>
    <definedName name="Segment_Genre_Client">#N/A</definedName>
    <definedName name="Segment_Heure_vente">#N/A</definedName>
    <definedName name="Segment_Jour_vente">#N/A</definedName>
    <definedName name="Segment_Libellé_Produit">#N/A</definedName>
    <definedName name="Segment_Mois_vente">#N/A</definedName>
    <definedName name="Segment_Moment_Journée">#N/A</definedName>
    <definedName name="Segment_Moment_Semaine">#N/A</definedName>
    <definedName name="Segment_Noms_Client">#N/A</definedName>
    <definedName name="Segment_Noms_Vendeur">#N/A</definedName>
    <definedName name="Segment_Quartier_Client">#N/A</definedName>
    <definedName name="Segment_Trimestre_vente___Nom">#N/A</definedName>
  </definedNames>
  <calcPr calcId="181029"/>
  <pivotCaches>
    <pivotCache cacheId="175" r:id="rId15"/>
  </pivotCaches>
  <extLst>
    <ext xmlns:x14="http://schemas.microsoft.com/office/spreadsheetml/2009/9/main" uri="{876F7934-8845-4945-9796-88D515C7AA90}">
      <x14:pivotCaches>
        <pivotCache cacheId="12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78" r:id="rId33"/>
        <pivotCache cacheId="181" r:id="rId34"/>
        <pivotCache cacheId="184" r:id="rId35"/>
        <pivotCache cacheId="187" r:id="rId36"/>
        <pivotCache cacheId="190" r:id="rId37"/>
        <pivotCache cacheId="193" r:id="rId38"/>
        <pivotCache cacheId="196" r:id="rId39"/>
        <pivotCache cacheId="199" r:id="rId40"/>
      </x15:pivotCaches>
    </ext>
    <ext xmlns:x15="http://schemas.microsoft.com/office/spreadsheetml/2010/11/main" uri="{983426D0-5260-488c-9760-48F4B6AC55F4}">
      <x15:pivotTableReferences>
        <x15:pivotTableReference r:id="rId41"/>
        <x15:pivotTableReference r:id="rId42"/>
        <x15:pivotTableReference r:id="rId43"/>
        <x15:pivotTableReference r:id="rId44"/>
        <x15:pivotTableReference r:id="rId45"/>
        <x15:pivotTableReference r:id="rId46"/>
        <x15:pivotTableReference r:id="rId47"/>
        <x15:pivotTableReference r:id="rId48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source_donnees  2_0b983f74-55ac-4e60-8b50-bfd091477012" name="table_source_donnees  2" connection="Requête - table_source_donnees (2)"/>
        </x15:modelTables>
      </x15:dataModel>
    </ext>
  </extLst>
</workbook>
</file>

<file path=xl/calcChain.xml><?xml version="1.0" encoding="utf-8"?>
<calcChain xmlns="http://schemas.openxmlformats.org/spreadsheetml/2006/main">
  <c r="AF15" i="18" l="1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F34" i="18"/>
  <c r="AF35" i="18"/>
  <c r="AF36" i="18"/>
  <c r="AF37" i="18"/>
  <c r="AF38" i="18"/>
  <c r="AF39" i="18"/>
  <c r="AF40" i="18"/>
  <c r="AF41" i="18"/>
  <c r="AF42" i="18"/>
  <c r="AF43" i="18"/>
  <c r="AF44" i="18"/>
  <c r="AF45" i="18"/>
  <c r="AF46" i="18"/>
  <c r="AF47" i="18"/>
  <c r="AF48" i="18"/>
  <c r="AF49" i="18"/>
  <c r="AF50" i="18"/>
  <c r="AF51" i="18"/>
  <c r="AF52" i="18"/>
  <c r="AF53" i="18"/>
  <c r="AF54" i="18"/>
  <c r="AF55" i="18"/>
  <c r="AF56" i="18"/>
  <c r="AF57" i="18"/>
  <c r="AE15" i="18"/>
  <c r="AE16" i="18"/>
  <c r="AE17" i="18"/>
  <c r="AE18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E36" i="18"/>
  <c r="AE37" i="18"/>
  <c r="AE38" i="18"/>
  <c r="AE39" i="18"/>
  <c r="AE40" i="18"/>
  <c r="AE41" i="18"/>
  <c r="AE42" i="18"/>
  <c r="AE43" i="18"/>
  <c r="AE44" i="18"/>
  <c r="AE45" i="18"/>
  <c r="AE46" i="18"/>
  <c r="AE47" i="18"/>
  <c r="AE48" i="18"/>
  <c r="AE49" i="18"/>
  <c r="AE50" i="18"/>
  <c r="AE51" i="18"/>
  <c r="AE52" i="18"/>
  <c r="AE53" i="18"/>
  <c r="AE54" i="18"/>
  <c r="AE55" i="18"/>
  <c r="AE56" i="18"/>
  <c r="AE57" i="18"/>
  <c r="AD15" i="18"/>
  <c r="AD16" i="18"/>
  <c r="AD17" i="18"/>
  <c r="AD18" i="18"/>
  <c r="AD19" i="18"/>
  <c r="AD20" i="18"/>
  <c r="AD21" i="18"/>
  <c r="AD22" i="18"/>
  <c r="AD23" i="18"/>
  <c r="AD24" i="18"/>
  <c r="AD25" i="18"/>
  <c r="AD26" i="18"/>
  <c r="AD27" i="18"/>
  <c r="AD28" i="18"/>
  <c r="AD29" i="18"/>
  <c r="AD30" i="18"/>
  <c r="AD31" i="18"/>
  <c r="AD32" i="18"/>
  <c r="AD33" i="18"/>
  <c r="AD34" i="18"/>
  <c r="AD35" i="18"/>
  <c r="AD36" i="18"/>
  <c r="AD37" i="18"/>
  <c r="AD38" i="18"/>
  <c r="AD39" i="18"/>
  <c r="AD40" i="18"/>
  <c r="AD41" i="18"/>
  <c r="AD42" i="18"/>
  <c r="AD43" i="18"/>
  <c r="AD44" i="18"/>
  <c r="AD45" i="18"/>
  <c r="AD46" i="18"/>
  <c r="AD47" i="18"/>
  <c r="AD48" i="18"/>
  <c r="AD49" i="18"/>
  <c r="AD50" i="18"/>
  <c r="AD51" i="18"/>
  <c r="AD52" i="18"/>
  <c r="AD53" i="18"/>
  <c r="AD54" i="18"/>
  <c r="AD55" i="18"/>
  <c r="AD56" i="18"/>
  <c r="AD57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B15" i="18"/>
  <c r="AB16" i="18"/>
  <c r="AB17" i="18"/>
  <c r="AB18" i="18"/>
  <c r="AB19" i="18"/>
  <c r="AB20" i="18"/>
  <c r="AB21" i="18"/>
  <c r="AB22" i="18"/>
  <c r="AB23" i="18"/>
  <c r="AB24" i="18"/>
  <c r="AB25" i="18"/>
  <c r="AB26" i="18"/>
  <c r="AB27" i="18"/>
  <c r="AB28" i="18"/>
  <c r="AB29" i="18"/>
  <c r="AB30" i="18"/>
  <c r="AB31" i="18"/>
  <c r="AB32" i="18"/>
  <c r="AB33" i="18"/>
  <c r="AB34" i="18"/>
  <c r="AB35" i="18"/>
  <c r="AB36" i="18"/>
  <c r="AB37" i="18"/>
  <c r="AB38" i="18"/>
  <c r="AB39" i="18"/>
  <c r="AB40" i="18"/>
  <c r="AB41" i="18"/>
  <c r="AB42" i="18"/>
  <c r="AB43" i="18"/>
  <c r="AB44" i="18"/>
  <c r="AB45" i="18"/>
  <c r="AB46" i="18"/>
  <c r="AB47" i="18"/>
  <c r="AB48" i="18"/>
  <c r="AB49" i="18"/>
  <c r="AB50" i="18"/>
  <c r="AB51" i="18"/>
  <c r="AB52" i="18"/>
  <c r="AB53" i="18"/>
  <c r="AB54" i="18"/>
  <c r="AB55" i="18"/>
  <c r="AB56" i="18"/>
  <c r="AB57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39" i="18"/>
  <c r="AA40" i="18"/>
  <c r="AA41" i="18"/>
  <c r="AA42" i="18"/>
  <c r="AA43" i="18"/>
  <c r="AA44" i="18"/>
  <c r="AA45" i="18"/>
  <c r="AA46" i="18"/>
  <c r="AA47" i="18"/>
  <c r="AA48" i="18"/>
  <c r="AA49" i="18"/>
  <c r="AA50" i="18"/>
  <c r="AA51" i="18"/>
  <c r="AA52" i="18"/>
  <c r="AA53" i="18"/>
  <c r="AA54" i="18"/>
  <c r="AA55" i="18"/>
  <c r="AA56" i="18"/>
  <c r="AA57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57" i="18"/>
  <c r="X15" i="18"/>
  <c r="X16" i="18"/>
  <c r="X17" i="18"/>
  <c r="X18" i="18"/>
  <c r="X19" i="18"/>
  <c r="X20" i="18"/>
  <c r="X21" i="18"/>
  <c r="X22" i="18"/>
  <c r="X23" i="18"/>
  <c r="X24" i="18"/>
  <c r="X25" i="18"/>
  <c r="X26" i="18"/>
  <c r="X27" i="18"/>
  <c r="X28" i="18"/>
  <c r="X29" i="18"/>
  <c r="X30" i="18"/>
  <c r="X31" i="18"/>
  <c r="X32" i="18"/>
  <c r="X33" i="18"/>
  <c r="X34" i="18"/>
  <c r="X35" i="18"/>
  <c r="X36" i="18"/>
  <c r="X37" i="18"/>
  <c r="X38" i="18"/>
  <c r="X39" i="18"/>
  <c r="X40" i="18"/>
  <c r="X41" i="18"/>
  <c r="X42" i="18"/>
  <c r="X43" i="18"/>
  <c r="X44" i="18"/>
  <c r="X45" i="18"/>
  <c r="X46" i="18"/>
  <c r="X47" i="18"/>
  <c r="X48" i="18"/>
  <c r="X49" i="18"/>
  <c r="X50" i="18"/>
  <c r="X51" i="18"/>
  <c r="X52" i="18"/>
  <c r="X53" i="18"/>
  <c r="X54" i="18"/>
  <c r="X55" i="18"/>
  <c r="X56" i="18"/>
  <c r="X57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52" i="18"/>
  <c r="S53" i="18"/>
  <c r="S54" i="18"/>
  <c r="S55" i="18"/>
  <c r="S56" i="18"/>
  <c r="S57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48" i="18"/>
  <c r="O49" i="18"/>
  <c r="O50" i="18"/>
  <c r="O51" i="18"/>
  <c r="O52" i="18"/>
  <c r="O53" i="18"/>
  <c r="O54" i="18"/>
  <c r="O55" i="18"/>
  <c r="O56" i="18"/>
  <c r="O57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F3" i="18"/>
  <c r="AF4" i="18"/>
  <c r="AF5" i="18"/>
  <c r="AF6" i="18"/>
  <c r="AF7" i="18"/>
  <c r="AF8" i="18"/>
  <c r="AF9" i="18"/>
  <c r="AF10" i="18"/>
  <c r="AF11" i="18"/>
  <c r="AF12" i="18"/>
  <c r="AF13" i="18"/>
  <c r="AF14" i="18"/>
  <c r="AE3" i="18"/>
  <c r="AE4" i="18"/>
  <c r="AE5" i="18"/>
  <c r="AE6" i="18"/>
  <c r="AE7" i="18"/>
  <c r="AE8" i="18"/>
  <c r="AE9" i="18"/>
  <c r="AE10" i="18"/>
  <c r="AE11" i="18"/>
  <c r="AE12" i="18"/>
  <c r="AE13" i="18"/>
  <c r="AE14" i="18"/>
  <c r="AD3" i="18"/>
  <c r="AD4" i="18"/>
  <c r="AD5" i="18"/>
  <c r="AD6" i="18"/>
  <c r="AD7" i="18"/>
  <c r="AD8" i="18"/>
  <c r="AD9" i="18"/>
  <c r="AD10" i="18"/>
  <c r="AD11" i="18"/>
  <c r="AD12" i="18"/>
  <c r="AD13" i="18"/>
  <c r="AD14" i="18"/>
  <c r="AC3" i="18"/>
  <c r="AC4" i="18"/>
  <c r="AC5" i="18"/>
  <c r="AC6" i="18"/>
  <c r="AC7" i="18"/>
  <c r="AC8" i="18"/>
  <c r="AC9" i="18"/>
  <c r="AC10" i="18"/>
  <c r="AC11" i="18"/>
  <c r="AC12" i="18"/>
  <c r="AC13" i="18"/>
  <c r="AC14" i="18"/>
  <c r="AB3" i="18"/>
  <c r="AB4" i="18"/>
  <c r="AB5" i="18"/>
  <c r="AB6" i="18"/>
  <c r="AB7" i="18"/>
  <c r="AB8" i="18"/>
  <c r="AB9" i="18"/>
  <c r="AB10" i="18"/>
  <c r="AB11" i="18"/>
  <c r="AB12" i="18"/>
  <c r="AB13" i="18"/>
  <c r="AB14" i="18"/>
  <c r="AA3" i="18"/>
  <c r="AA4" i="18"/>
  <c r="AA5" i="18"/>
  <c r="AA6" i="18"/>
  <c r="AA7" i="18"/>
  <c r="AA8" i="18"/>
  <c r="AA9" i="18"/>
  <c r="AA10" i="18"/>
  <c r="AA11" i="18"/>
  <c r="AA12" i="18"/>
  <c r="AA13" i="18"/>
  <c r="AA14" i="18"/>
  <c r="Z3" i="18"/>
  <c r="Z4" i="18"/>
  <c r="Z5" i="18"/>
  <c r="Z6" i="18"/>
  <c r="Z7" i="18"/>
  <c r="Z8" i="18"/>
  <c r="Z9" i="18"/>
  <c r="Z10" i="18"/>
  <c r="Z11" i="18"/>
  <c r="Z12" i="18"/>
  <c r="Z13" i="18"/>
  <c r="Z14" i="18"/>
  <c r="Y3" i="18"/>
  <c r="Y4" i="18"/>
  <c r="Y5" i="18"/>
  <c r="Y6" i="18"/>
  <c r="Y7" i="18"/>
  <c r="Y8" i="18"/>
  <c r="Y9" i="18"/>
  <c r="Y10" i="18"/>
  <c r="Y11" i="18"/>
  <c r="Y12" i="18"/>
  <c r="Y13" i="18"/>
  <c r="Y14" i="18"/>
  <c r="X3" i="18"/>
  <c r="X4" i="18"/>
  <c r="X5" i="18"/>
  <c r="X6" i="18"/>
  <c r="X7" i="18"/>
  <c r="X8" i="18"/>
  <c r="X9" i="18"/>
  <c r="X10" i="18"/>
  <c r="X11" i="18"/>
  <c r="X12" i="18"/>
  <c r="X13" i="18"/>
  <c r="X14" i="18"/>
  <c r="W3" i="18"/>
  <c r="W4" i="18"/>
  <c r="W5" i="18"/>
  <c r="W6" i="18"/>
  <c r="W7" i="18"/>
  <c r="W8" i="18"/>
  <c r="W9" i="18"/>
  <c r="W10" i="18"/>
  <c r="W11" i="18"/>
  <c r="W12" i="18"/>
  <c r="W13" i="18"/>
  <c r="W14" i="18"/>
  <c r="V3" i="18"/>
  <c r="V4" i="18"/>
  <c r="V5" i="18"/>
  <c r="V6" i="18"/>
  <c r="V7" i="18"/>
  <c r="V8" i="18"/>
  <c r="V9" i="18"/>
  <c r="V10" i="18"/>
  <c r="V11" i="18"/>
  <c r="V12" i="18"/>
  <c r="V13" i="18"/>
  <c r="V14" i="18"/>
  <c r="U3" i="18"/>
  <c r="U4" i="18"/>
  <c r="U5" i="18"/>
  <c r="U6" i="18"/>
  <c r="U7" i="18"/>
  <c r="U8" i="18"/>
  <c r="U9" i="18"/>
  <c r="U10" i="18"/>
  <c r="U11" i="18"/>
  <c r="U12" i="18"/>
  <c r="U13" i="18"/>
  <c r="U14" i="18"/>
  <c r="T3" i="18"/>
  <c r="T4" i="18"/>
  <c r="T5" i="18"/>
  <c r="T6" i="18"/>
  <c r="T7" i="18"/>
  <c r="T8" i="18"/>
  <c r="T9" i="18"/>
  <c r="T10" i="18"/>
  <c r="T11" i="18"/>
  <c r="T12" i="18"/>
  <c r="T13" i="18"/>
  <c r="T14" i="18"/>
  <c r="S3" i="18"/>
  <c r="S4" i="18"/>
  <c r="S5" i="18"/>
  <c r="S6" i="18"/>
  <c r="S7" i="18"/>
  <c r="S8" i="18"/>
  <c r="S9" i="18"/>
  <c r="S10" i="18"/>
  <c r="S11" i="18"/>
  <c r="S12" i="18"/>
  <c r="S13" i="18"/>
  <c r="S14" i="18"/>
  <c r="R3" i="18"/>
  <c r="R4" i="18"/>
  <c r="R5" i="18"/>
  <c r="R6" i="18"/>
  <c r="R7" i="18"/>
  <c r="R8" i="18"/>
  <c r="R9" i="18"/>
  <c r="R10" i="18"/>
  <c r="R11" i="18"/>
  <c r="R12" i="18"/>
  <c r="R13" i="18"/>
  <c r="R14" i="18"/>
  <c r="Q3" i="18"/>
  <c r="Q4" i="18"/>
  <c r="Q5" i="18"/>
  <c r="Q6" i="18"/>
  <c r="Q7" i="18"/>
  <c r="Q8" i="18"/>
  <c r="Q9" i="18"/>
  <c r="Q10" i="18"/>
  <c r="Q11" i="18"/>
  <c r="Q12" i="18"/>
  <c r="Q13" i="18"/>
  <c r="Q14" i="18"/>
  <c r="P3" i="18"/>
  <c r="P4" i="18"/>
  <c r="P5" i="18"/>
  <c r="P6" i="18"/>
  <c r="P7" i="18"/>
  <c r="P8" i="18"/>
  <c r="P9" i="18"/>
  <c r="P10" i="18"/>
  <c r="P11" i="18"/>
  <c r="P12" i="18"/>
  <c r="P13" i="18"/>
  <c r="P14" i="18"/>
  <c r="O3" i="18"/>
  <c r="O4" i="18"/>
  <c r="O5" i="18"/>
  <c r="O6" i="18"/>
  <c r="O7" i="18"/>
  <c r="O8" i="18"/>
  <c r="O9" i="18"/>
  <c r="O10" i="18"/>
  <c r="O11" i="18"/>
  <c r="O12" i="18"/>
  <c r="O13" i="18"/>
  <c r="O14" i="18"/>
  <c r="N3" i="18"/>
  <c r="N4" i="18"/>
  <c r="N5" i="18"/>
  <c r="N6" i="18"/>
  <c r="N7" i="18"/>
  <c r="N8" i="18"/>
  <c r="N9" i="18"/>
  <c r="N10" i="18"/>
  <c r="N11" i="18"/>
  <c r="N12" i="18"/>
  <c r="N13" i="18"/>
  <c r="N14" i="18"/>
  <c r="N2" i="18"/>
  <c r="M3" i="18"/>
  <c r="M4" i="18"/>
  <c r="M5" i="18"/>
  <c r="M6" i="18"/>
  <c r="M7" i="18"/>
  <c r="M8" i="18"/>
  <c r="M9" i="18"/>
  <c r="M10" i="18"/>
  <c r="M11" i="18"/>
  <c r="M12" i="18"/>
  <c r="M13" i="18"/>
  <c r="M14" i="18"/>
  <c r="L3" i="18"/>
  <c r="L4" i="18"/>
  <c r="L5" i="18"/>
  <c r="L6" i="18"/>
  <c r="L7" i="18"/>
  <c r="L8" i="18"/>
  <c r="L9" i="18"/>
  <c r="L10" i="18"/>
  <c r="L11" i="18"/>
  <c r="L12" i="18"/>
  <c r="L13" i="18"/>
  <c r="L14" i="18"/>
  <c r="K3" i="18"/>
  <c r="K4" i="18"/>
  <c r="K5" i="18"/>
  <c r="K6" i="18"/>
  <c r="K7" i="18"/>
  <c r="K8" i="18"/>
  <c r="K9" i="18"/>
  <c r="K10" i="18"/>
  <c r="K11" i="18"/>
  <c r="K12" i="18"/>
  <c r="K13" i="18"/>
  <c r="K14" i="18"/>
  <c r="J3" i="18"/>
  <c r="J4" i="18"/>
  <c r="J5" i="18"/>
  <c r="J6" i="18"/>
  <c r="J7" i="18"/>
  <c r="J8" i="18"/>
  <c r="J9" i="18"/>
  <c r="J10" i="18"/>
  <c r="J11" i="18"/>
  <c r="J12" i="18"/>
  <c r="J13" i="18"/>
  <c r="J14" i="18"/>
  <c r="I3" i="18"/>
  <c r="I4" i="18"/>
  <c r="I5" i="18"/>
  <c r="I6" i="18"/>
  <c r="I7" i="18"/>
  <c r="I8" i="18"/>
  <c r="I9" i="18"/>
  <c r="I10" i="18"/>
  <c r="I11" i="18"/>
  <c r="I12" i="18"/>
  <c r="I13" i="18"/>
  <c r="I14" i="18"/>
  <c r="H3" i="18"/>
  <c r="H4" i="18"/>
  <c r="H5" i="18"/>
  <c r="H6" i="18"/>
  <c r="H7" i="18"/>
  <c r="H8" i="18"/>
  <c r="H9" i="18"/>
  <c r="H10" i="18"/>
  <c r="H11" i="18"/>
  <c r="H12" i="18"/>
  <c r="H13" i="18"/>
  <c r="H14" i="18"/>
  <c r="G3" i="18"/>
  <c r="G4" i="18"/>
  <c r="G5" i="18"/>
  <c r="G6" i="18"/>
  <c r="G7" i="18"/>
  <c r="G8" i="18"/>
  <c r="G9" i="18"/>
  <c r="G10" i="18"/>
  <c r="G11" i="18"/>
  <c r="G12" i="18"/>
  <c r="G13" i="18"/>
  <c r="G14" i="18"/>
  <c r="F3" i="18"/>
  <c r="F4" i="18"/>
  <c r="F5" i="18"/>
  <c r="F6" i="18"/>
  <c r="F7" i="18"/>
  <c r="F8" i="18"/>
  <c r="F9" i="18"/>
  <c r="F10" i="18"/>
  <c r="F11" i="18"/>
  <c r="F12" i="18"/>
  <c r="F13" i="18"/>
  <c r="F14" i="18"/>
  <c r="E3" i="18"/>
  <c r="E4" i="18"/>
  <c r="E5" i="18"/>
  <c r="E6" i="18"/>
  <c r="E7" i="18"/>
  <c r="E8" i="18"/>
  <c r="E9" i="18"/>
  <c r="E10" i="18"/>
  <c r="E11" i="18"/>
  <c r="E12" i="18"/>
  <c r="E13" i="18"/>
  <c r="E14" i="18"/>
  <c r="D3" i="18"/>
  <c r="D4" i="18"/>
  <c r="D5" i="18"/>
  <c r="D6" i="18"/>
  <c r="D7" i="18"/>
  <c r="D8" i="18"/>
  <c r="D9" i="18"/>
  <c r="D10" i="18"/>
  <c r="D11" i="18"/>
  <c r="D12" i="18"/>
  <c r="D13" i="18"/>
  <c r="D14" i="18"/>
  <c r="C3" i="18"/>
  <c r="C4" i="18"/>
  <c r="C5" i="18"/>
  <c r="C6" i="18"/>
  <c r="C7" i="18"/>
  <c r="C8" i="18"/>
  <c r="C9" i="18"/>
  <c r="C10" i="18"/>
  <c r="C11" i="18"/>
  <c r="C12" i="18"/>
  <c r="C13" i="18"/>
  <c r="C14" i="18"/>
  <c r="B3" i="18"/>
  <c r="B4" i="18"/>
  <c r="B5" i="18"/>
  <c r="B6" i="18"/>
  <c r="B7" i="18"/>
  <c r="B8" i="18"/>
  <c r="B9" i="18"/>
  <c r="B10" i="18"/>
  <c r="B11" i="18"/>
  <c r="B12" i="18"/>
  <c r="B13" i="18"/>
  <c r="B14" i="18"/>
  <c r="B2" i="18"/>
  <c r="C2" i="18"/>
  <c r="D2" i="18"/>
  <c r="E2" i="18"/>
  <c r="F2" i="18"/>
  <c r="G2" i="18"/>
  <c r="H2" i="18"/>
  <c r="I2" i="18"/>
  <c r="J2" i="18"/>
  <c r="K2" i="18"/>
  <c r="L2" i="18"/>
  <c r="M2" i="18"/>
  <c r="O2" i="18"/>
  <c r="P2" i="18"/>
  <c r="Q2" i="18"/>
  <c r="R2" i="18"/>
  <c r="S2" i="18"/>
  <c r="T2" i="18"/>
  <c r="U2" i="18"/>
  <c r="V2" i="18"/>
  <c r="W2" i="18"/>
  <c r="X2" i="18"/>
  <c r="Y2" i="18"/>
  <c r="Z2" i="18"/>
  <c r="A10" i="18"/>
  <c r="A11" i="18"/>
  <c r="A12" i="18"/>
  <c r="A13" i="18"/>
  <c r="A14" i="18"/>
  <c r="A3" i="18"/>
  <c r="A4" i="18"/>
  <c r="A5" i="18"/>
  <c r="A6" i="18"/>
  <c r="A7" i="18"/>
  <c r="A8" i="18"/>
  <c r="A9" i="18"/>
  <c r="AA2" i="18"/>
  <c r="AB2" i="18"/>
  <c r="AC2" i="18"/>
  <c r="AD2" i="18"/>
  <c r="AE2" i="18"/>
  <c r="AF2" i="18"/>
  <c r="A2" i="18"/>
  <c r="D7" i="20"/>
  <c r="C7" i="20"/>
  <c r="E7" i="20"/>
  <c r="B7" i="20"/>
  <c r="G7" i="20"/>
  <c r="H7" i="20"/>
  <c r="F7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2FCDF5-DAE5-4C81-B286-24D71330F27A}" name="Requête - table_source_donnees (2)" description="Connexion à la requête « table_source_donnees (2) » dans le classeur." type="100" refreshedVersion="7" minRefreshableVersion="5">
    <extLst>
      <ext xmlns:x15="http://schemas.microsoft.com/office/spreadsheetml/2010/11/main" uri="{DE250136-89BD-433C-8126-D09CA5730AF9}">
        <x15:connection id="dde3f512-5846-4fad-a83e-548ef991c0ea"/>
      </ext>
    </extLst>
  </connection>
  <connection id="2" xr16:uid="{74E6E512-AC3A-468E-81DA-04361EED7353}" keepAlive="1" name="ThisWorkbookDataModel" description="Modèle de données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<sst xmlns="http://schemas.openxmlformats.org/spreadsheetml/2006/main" count="2019" uniqueCount="421">
  <si>
    <t>Prix_Unitaire_Produit</t>
  </si>
  <si>
    <t>Description_Produit</t>
  </si>
  <si>
    <t>Quantité_Stockée</t>
  </si>
  <si>
    <t>Image_Produit</t>
  </si>
  <si>
    <t>Libellé_Produit</t>
  </si>
  <si>
    <t>Nom_Categorie_Produit</t>
  </si>
  <si>
    <t>Description_Categorie</t>
  </si>
  <si>
    <t>ID_Client</t>
  </si>
  <si>
    <t>Nom_Client</t>
  </si>
  <si>
    <t>Prenom_Client</t>
  </si>
  <si>
    <t>Email_Client</t>
  </si>
  <si>
    <t>Telephone_Client</t>
  </si>
  <si>
    <t>Adresse_Client</t>
  </si>
  <si>
    <t>Genre_Client</t>
  </si>
  <si>
    <t>ID_Vendeur</t>
  </si>
  <si>
    <t>Nom_Vendeur</t>
  </si>
  <si>
    <t>Prenom_Vendeur</t>
  </si>
  <si>
    <t>Email_Vendeur</t>
  </si>
  <si>
    <t>Telephone_Vendeur</t>
  </si>
  <si>
    <t>Poste_Vendeur</t>
  </si>
  <si>
    <t>Image_Vendeur</t>
  </si>
  <si>
    <t>ID_Commande</t>
  </si>
  <si>
    <t>Date_Commmande</t>
  </si>
  <si>
    <t>Statut_Commande</t>
  </si>
  <si>
    <t>ID_Ligne_Commande</t>
  </si>
  <si>
    <t>ID_Produit</t>
  </si>
  <si>
    <t>Quantite_Commande</t>
  </si>
  <si>
    <t>Prix_Unitaire</t>
  </si>
  <si>
    <t>Total_Ligne</t>
  </si>
  <si>
    <t>Genre_Vendeur</t>
  </si>
  <si>
    <t>Analyste des ventes</t>
  </si>
  <si>
    <t>Gestionnaire des ventes</t>
  </si>
  <si>
    <t>Statut de commande : Confirmée</t>
  </si>
  <si>
    <t>Produit</t>
  </si>
  <si>
    <t>Quantité</t>
  </si>
  <si>
    <t>Prix Unitaire</t>
  </si>
  <si>
    <t>Prix Total</t>
  </si>
  <si>
    <t>Client :</t>
  </si>
  <si>
    <t>Monnaie : Francs Congolais (CDF)</t>
  </si>
  <si>
    <t>Commande N°</t>
  </si>
  <si>
    <t>Superviseur des ventes</t>
  </si>
  <si>
    <t>ID_User</t>
  </si>
  <si>
    <t>NomUtilisateur</t>
  </si>
  <si>
    <t>MotDePasse</t>
  </si>
  <si>
    <t>Rôle</t>
  </si>
  <si>
    <t>Tshiyoyi Agnès</t>
  </si>
  <si>
    <t>Mbayi Marcel</t>
  </si>
  <si>
    <t>TABLEAU DE BORD DES VENTES</t>
  </si>
  <si>
    <t>Visualisation des ventes en temps réel</t>
  </si>
  <si>
    <t>ID_Categorie_Produit</t>
  </si>
  <si>
    <t>Date_Commande</t>
  </si>
  <si>
    <t>Cosm</t>
  </si>
  <si>
    <t>Cosmétique</t>
  </si>
  <si>
    <t>Le meilleur des catégories</t>
  </si>
  <si>
    <t>Roug</t>
  </si>
  <si>
    <t>Rouge à lèvres</t>
  </si>
  <si>
    <t>Meilleur pour les levres</t>
  </si>
  <si>
    <t>Cray</t>
  </si>
  <si>
    <t>Crayon Cils</t>
  </si>
  <si>
    <t>Optionnel</t>
  </si>
  <si>
    <t>Nov</t>
  </si>
  <si>
    <t>Novie Palette</t>
  </si>
  <si>
    <t>PomAv</t>
  </si>
  <si>
    <t>Pomade avocat</t>
  </si>
  <si>
    <t>Masca</t>
  </si>
  <si>
    <t>Mascara</t>
  </si>
  <si>
    <t>Cuisi</t>
  </si>
  <si>
    <t>Cuisine</t>
  </si>
  <si>
    <t>Sel</t>
  </si>
  <si>
    <t>Sel de table</t>
  </si>
  <si>
    <t>Optionnelle</t>
  </si>
  <si>
    <t>Sel2</t>
  </si>
  <si>
    <t>Sel à boules</t>
  </si>
  <si>
    <t>Toma1</t>
  </si>
  <si>
    <t>Tomate Appolo</t>
  </si>
  <si>
    <t>-</t>
  </si>
  <si>
    <t>Toma2</t>
  </si>
  <si>
    <t>Tomate Suisse</t>
  </si>
  <si>
    <t>Mayo</t>
  </si>
  <si>
    <t>Mayonnaise Grand Format</t>
  </si>
  <si>
    <t>Mayo2</t>
  </si>
  <si>
    <t>Mayonnaise Petit Format</t>
  </si>
  <si>
    <t>Choco</t>
  </si>
  <si>
    <t>Chocolat en boite</t>
  </si>
  <si>
    <t>TshiAgn</t>
  </si>
  <si>
    <t>Tshiyoyi</t>
  </si>
  <si>
    <t>Agnès</t>
  </si>
  <si>
    <t>Féminin</t>
  </si>
  <si>
    <t>tshiyoyiagnes@gmail.com</t>
  </si>
  <si>
    <t>Gestionnaire de ventes</t>
  </si>
  <si>
    <t>AliNgal</t>
  </si>
  <si>
    <t>Ngalamulume</t>
  </si>
  <si>
    <t>Alidor</t>
  </si>
  <si>
    <t>Masculin</t>
  </si>
  <si>
    <t>alidorngalamulume@gmail.com</t>
  </si>
  <si>
    <t>BerMut</t>
  </si>
  <si>
    <t>Mutuala</t>
  </si>
  <si>
    <t>Bernard</t>
  </si>
  <si>
    <t>bernardmutuala@gmail.com</t>
  </si>
  <si>
    <t>1</t>
  </si>
  <si>
    <t>Tshibende</t>
  </si>
  <si>
    <t>Christelle</t>
  </si>
  <si>
    <t>Masanga Mbila, Mont-Ngafula, Kinshasa</t>
  </si>
  <si>
    <t>22/08/2025 21:44:06</t>
  </si>
  <si>
    <t>Confirmée</t>
  </si>
  <si>
    <t>2</t>
  </si>
  <si>
    <t>Tshibuabua</t>
  </si>
  <si>
    <t>Adella</t>
  </si>
  <si>
    <t>Masanga-Mbila, Mont-Ngafula, Kinshasa</t>
  </si>
  <si>
    <t>22/08/2025 21:57:50</t>
  </si>
  <si>
    <t>Etat_Donnees</t>
  </si>
  <si>
    <t>Initial</t>
  </si>
  <si>
    <t>Supprimé</t>
  </si>
  <si>
    <t>Modifié</t>
  </si>
  <si>
    <t>Ngalamulume Alidor</t>
  </si>
  <si>
    <t>Mutuala Bernard</t>
  </si>
  <si>
    <t>Kabeya Robert</t>
  </si>
  <si>
    <t>23/08/2025 10:57:33</t>
  </si>
  <si>
    <t>3</t>
  </si>
  <si>
    <t>23/08/2025 11:55:07</t>
  </si>
  <si>
    <t>Poste : Gestionnaire des ventes</t>
  </si>
  <si>
    <t>RosLus</t>
  </si>
  <si>
    <t>Lusamba</t>
  </si>
  <si>
    <t>Rosie</t>
  </si>
  <si>
    <t>rosielusamba@gmail.com</t>
  </si>
  <si>
    <t>Lusamba Rosie</t>
  </si>
  <si>
    <t>Mecan</t>
  </si>
  <si>
    <t>Mécanique</t>
  </si>
  <si>
    <t>Vidag</t>
  </si>
  <si>
    <t>Vidage 1 litre</t>
  </si>
  <si>
    <t>Vidag2</t>
  </si>
  <si>
    <t>Vidage 5 litres</t>
  </si>
  <si>
    <t>Disc</t>
  </si>
  <si>
    <t>Disque Moteur</t>
  </si>
  <si>
    <t>Habill</t>
  </si>
  <si>
    <t>Habillement</t>
  </si>
  <si>
    <t>Bask</t>
  </si>
  <si>
    <t>Basket Air Force</t>
  </si>
  <si>
    <t>ItalBouc</t>
  </si>
  <si>
    <t>Italy Cuir Boucle</t>
  </si>
  <si>
    <t>Mukendi</t>
  </si>
  <si>
    <t>François</t>
  </si>
  <si>
    <t>Mpasa, Aeroport, Nsele</t>
  </si>
  <si>
    <t>4</t>
  </si>
  <si>
    <t>Mujinga</t>
  </si>
  <si>
    <t>Junior</t>
  </si>
  <si>
    <t>Fleuve, Magasin, Kitambo</t>
  </si>
  <si>
    <t>23/08/2025 21:33:59</t>
  </si>
  <si>
    <t>23/08/2025 21:35:21</t>
  </si>
  <si>
    <t>7</t>
  </si>
  <si>
    <t>Mbata</t>
  </si>
  <si>
    <t>Prospère</t>
  </si>
  <si>
    <t>Maman Mobutu, Mont-Ngafula, Kinshasa</t>
  </si>
  <si>
    <t>23/08/2025 22:18:47</t>
  </si>
  <si>
    <t>24/08/2025 10:52:00</t>
  </si>
  <si>
    <t>Funa</t>
  </si>
  <si>
    <t>Bandalungwa</t>
  </si>
  <si>
    <t>Adula</t>
  </si>
  <si>
    <t>Bisengo</t>
  </si>
  <si>
    <t>Kasa-Vubu</t>
  </si>
  <si>
    <t>Kokolo</t>
  </si>
  <si>
    <t>Makelele</t>
  </si>
  <si>
    <t>Bumbu</t>
  </si>
  <si>
    <t>Dipiya</t>
  </si>
  <si>
    <t>Mongala</t>
  </si>
  <si>
    <t>Ubangi</t>
  </si>
  <si>
    <t>Lokoro</t>
  </si>
  <si>
    <t>Matadi</t>
  </si>
  <si>
    <t>Kalamu</t>
  </si>
  <si>
    <t>Matonge</t>
  </si>
  <si>
    <t>Yolo Nord</t>
  </si>
  <si>
    <t>Yolo Sud</t>
  </si>
  <si>
    <t>Kauka</t>
  </si>
  <si>
    <t>Kimbangu</t>
  </si>
  <si>
    <t>Assossa</t>
  </si>
  <si>
    <t>Salongo</t>
  </si>
  <si>
    <t>Katanga</t>
  </si>
  <si>
    <t>Lubumbashi</t>
  </si>
  <si>
    <t>Ancien Combattants</t>
  </si>
  <si>
    <t>Makala</t>
  </si>
  <si>
    <t>Cité Verte</t>
  </si>
  <si>
    <t>Sanga Mamba</t>
  </si>
  <si>
    <t>Tshikapa</t>
  </si>
  <si>
    <t>Lokole</t>
  </si>
  <si>
    <t>Ngiri-Ngiri</t>
  </si>
  <si>
    <t>Luyeye</t>
  </si>
  <si>
    <t>Kalenda</t>
  </si>
  <si>
    <t>Musasa</t>
  </si>
  <si>
    <t>Mavula</t>
  </si>
  <si>
    <t>Yanda</t>
  </si>
  <si>
    <t>Selembao</t>
  </si>
  <si>
    <t>Mbudi</t>
  </si>
  <si>
    <t>Mitendi</t>
  </si>
  <si>
    <t>Kimbwala</t>
  </si>
  <si>
    <t>Camp PM</t>
  </si>
  <si>
    <t>Kinsuka</t>
  </si>
  <si>
    <t>Lukunga</t>
  </si>
  <si>
    <t>Barumbu</t>
  </si>
  <si>
    <t>Ndolo</t>
  </si>
  <si>
    <t>Funa I</t>
  </si>
  <si>
    <t>Funa II</t>
  </si>
  <si>
    <t>Kapinga Bapu</t>
  </si>
  <si>
    <t>Mozindo</t>
  </si>
  <si>
    <t>Gombe</t>
  </si>
  <si>
    <t>Gare</t>
  </si>
  <si>
    <t>Commerce</t>
  </si>
  <si>
    <t>Golf</t>
  </si>
  <si>
    <t>Clinique</t>
  </si>
  <si>
    <t>Fleuve</t>
  </si>
  <si>
    <t>Kintambo</t>
  </si>
  <si>
    <t>Kilimani</t>
  </si>
  <si>
    <t>Wenze</t>
  </si>
  <si>
    <t>Lisala</t>
  </si>
  <si>
    <t>Itimbiri</t>
  </si>
  <si>
    <t>Kinshasa</t>
  </si>
  <si>
    <t>Kabambare</t>
  </si>
  <si>
    <t>Saint-Paul</t>
  </si>
  <si>
    <t>Lingwala</t>
  </si>
  <si>
    <t>Kabinda</t>
  </si>
  <si>
    <t>Mompono</t>
  </si>
  <si>
    <t>Camp Luka</t>
  </si>
  <si>
    <t>Libulu</t>
  </si>
  <si>
    <t>Bongolo</t>
  </si>
  <si>
    <t>Mont-Ngafula</t>
  </si>
  <si>
    <t>CPA Mushie</t>
  </si>
  <si>
    <t>Kimbondo</t>
  </si>
  <si>
    <t>Kimbuta</t>
  </si>
  <si>
    <t>Kimuenza</t>
  </si>
  <si>
    <t>Kimbuala</t>
  </si>
  <si>
    <t>Kindele</t>
  </si>
  <si>
    <t>Lutendele</t>
  </si>
  <si>
    <t>Mama Mobutu</t>
  </si>
  <si>
    <t>Mama Yemo</t>
  </si>
  <si>
    <t>Masanga-Mbila</t>
  </si>
  <si>
    <t>Musangu-Télécom</t>
  </si>
  <si>
    <t>Mazamba</t>
  </si>
  <si>
    <t>Matadi-Kibala</t>
  </si>
  <si>
    <t>Matadi-Mayo</t>
  </si>
  <si>
    <t>Mbuki</t>
  </si>
  <si>
    <t>Ndjili-Kilambu</t>
  </si>
  <si>
    <t>Ngansele</t>
  </si>
  <si>
    <t>Plateau 1</t>
  </si>
  <si>
    <t>Plateau 2</t>
  </si>
  <si>
    <t>Vunda-Manenga</t>
  </si>
  <si>
    <t>Ngaliema</t>
  </si>
  <si>
    <t>Lunkunga</t>
  </si>
  <si>
    <t>Ngomba Kikusa</t>
  </si>
  <si>
    <t>Bumba</t>
  </si>
  <si>
    <t>Binza Pigeon</t>
  </si>
  <si>
    <t>Djelo Binza</t>
  </si>
  <si>
    <t>Bangu</t>
  </si>
  <si>
    <t>Punda</t>
  </si>
  <si>
    <t>Kimpe</t>
  </si>
  <si>
    <t>Anciens Combattants</t>
  </si>
  <si>
    <t>Basoko</t>
  </si>
  <si>
    <t>Congo</t>
  </si>
  <si>
    <t>Joli Parc</t>
  </si>
  <si>
    <t>Kinkenda</t>
  </si>
  <si>
    <t>Kinsuka Pêcheur</t>
  </si>
  <si>
    <t>Lonzo</t>
  </si>
  <si>
    <t>Musey</t>
  </si>
  <si>
    <t>Mama-Yemo</t>
  </si>
  <si>
    <t>Manenga</t>
  </si>
  <si>
    <t>Mfinda</t>
  </si>
  <si>
    <t>Monganga</t>
  </si>
  <si>
    <t>Lubudi</t>
  </si>
  <si>
    <t>Mont-Amba</t>
  </si>
  <si>
    <t>Kisenso</t>
  </si>
  <si>
    <t>Masanga Mbila</t>
  </si>
  <si>
    <t>Mataba</t>
  </si>
  <si>
    <t>Sans-Fil</t>
  </si>
  <si>
    <t>Ndanu</t>
  </si>
  <si>
    <t>Buma</t>
  </si>
  <si>
    <t>Lemba</t>
  </si>
  <si>
    <t>Righini</t>
  </si>
  <si>
    <t>Livulu</t>
  </si>
  <si>
    <t>Mbanza-Lemba</t>
  </si>
  <si>
    <t>Limete</t>
  </si>
  <si>
    <t>Résidentiel</t>
  </si>
  <si>
    <t>Kingabwa</t>
  </si>
  <si>
    <t>Industriel</t>
  </si>
  <si>
    <t>Lokali</t>
  </si>
  <si>
    <t>Matete</t>
  </si>
  <si>
    <t>Mandina</t>
  </si>
  <si>
    <t>Maïndombe</t>
  </si>
  <si>
    <t>Mboloko</t>
  </si>
  <si>
    <t>Kwenge I</t>
  </si>
  <si>
    <t>Kwenge II</t>
  </si>
  <si>
    <t>Ngilima I</t>
  </si>
  <si>
    <t>Ngilima II</t>
  </si>
  <si>
    <t>Anunga</t>
  </si>
  <si>
    <t>Kunda I</t>
  </si>
  <si>
    <t>Kunda II</t>
  </si>
  <si>
    <t>Viaza</t>
  </si>
  <si>
    <t>Banunu I</t>
  </si>
  <si>
    <t>Banunu II</t>
  </si>
  <si>
    <t>Batandu I</t>
  </si>
  <si>
    <t>Batandu II</t>
  </si>
  <si>
    <t>Mutoto</t>
  </si>
  <si>
    <t>Pululu I</t>
  </si>
  <si>
    <t>Pululu II</t>
  </si>
  <si>
    <t>Bahumbu I</t>
  </si>
  <si>
    <t>Bahumbu II</t>
  </si>
  <si>
    <t>Malandi I</t>
  </si>
  <si>
    <t>Malandi II</t>
  </si>
  <si>
    <t>Batende</t>
  </si>
  <si>
    <t>Kinsaku</t>
  </si>
  <si>
    <t>Ngufu</t>
  </si>
  <si>
    <t>Nsinga</t>
  </si>
  <si>
    <t>De Bonhomme</t>
  </si>
  <si>
    <t>Bateke</t>
  </si>
  <si>
    <t>Singa</t>
  </si>
  <si>
    <t>Kinsimbu</t>
  </si>
  <si>
    <t>Vitamine I</t>
  </si>
  <si>
    <t>Vitamine II</t>
  </si>
  <si>
    <t>Tomba</t>
  </si>
  <si>
    <t>Baboma</t>
  </si>
  <si>
    <t>Kinzazi</t>
  </si>
  <si>
    <t>Ngaba</t>
  </si>
  <si>
    <t>Sans-Échec</t>
  </si>
  <si>
    <t>Université</t>
  </si>
  <si>
    <t>Mukulungu</t>
  </si>
  <si>
    <t>Tshangu</t>
  </si>
  <si>
    <t>Kimbanseke</t>
  </si>
  <si>
    <t>Kingasani</t>
  </si>
  <si>
    <t>Mikondo</t>
  </si>
  <si>
    <t>Masina Petro-Congo</t>
  </si>
  <si>
    <t>Malebo</t>
  </si>
  <si>
    <t>Nsanga</t>
  </si>
  <si>
    <t>Maluku</t>
  </si>
  <si>
    <t>Menkao</t>
  </si>
  <si>
    <t>Nsele</t>
  </si>
  <si>
    <t>Kimwenza</t>
  </si>
  <si>
    <t>Kimpoko</t>
  </si>
  <si>
    <t>Kasangulu</t>
  </si>
  <si>
    <t>Masina</t>
  </si>
  <si>
    <t>Petro-Congo</t>
  </si>
  <si>
    <t>Mapela</t>
  </si>
  <si>
    <t>Djemo</t>
  </si>
  <si>
    <t>Ndjili</t>
  </si>
  <si>
    <t>Quartier 7</t>
  </si>
  <si>
    <t>Quartier 8</t>
  </si>
  <si>
    <t>Quartier 11</t>
  </si>
  <si>
    <t>Brasserie</t>
  </si>
  <si>
    <t>Kinkole</t>
  </si>
  <si>
    <t>Bibwa</t>
  </si>
  <si>
    <t>N’djili-Brasserie</t>
  </si>
  <si>
    <t>Mikonga</t>
  </si>
  <si>
    <t>Mbakana</t>
  </si>
  <si>
    <t>District</t>
  </si>
  <si>
    <t>Commune</t>
  </si>
  <si>
    <t>Quartier</t>
  </si>
  <si>
    <t>Funa, Bumbu, Dipiya</t>
  </si>
  <si>
    <t>Mont-Amba, Kisenso, Sans-Fil</t>
  </si>
  <si>
    <t>Tshangu, Maluku, Nsele</t>
  </si>
  <si>
    <t>Mont-Amba, Kisenso, Ndanu</t>
  </si>
  <si>
    <t>Lukunga, Gombe, Commerce</t>
  </si>
  <si>
    <t>5</t>
  </si>
  <si>
    <t>Muela</t>
  </si>
  <si>
    <t>Cédric</t>
  </si>
  <si>
    <t>Tshangu, Kimbanseke, Kingasani</t>
  </si>
  <si>
    <t>6</t>
  </si>
  <si>
    <t>Mputu</t>
  </si>
  <si>
    <t>Claris</t>
  </si>
  <si>
    <t>Mont-Amba, Lemba, Righini</t>
  </si>
  <si>
    <t>8</t>
  </si>
  <si>
    <t>Bipendu</t>
  </si>
  <si>
    <t>Annita</t>
  </si>
  <si>
    <t>Tshangu, Kimbanseke, Mikondo</t>
  </si>
  <si>
    <t>24/08/2025 23:38:49</t>
  </si>
  <si>
    <t>24/08/2025 23:42:56</t>
  </si>
  <si>
    <t>24/08/2025 23:44:12</t>
  </si>
  <si>
    <t>Bois</t>
  </si>
  <si>
    <t>Boisson</t>
  </si>
  <si>
    <t>Nko</t>
  </si>
  <si>
    <t>Nkoyi</t>
  </si>
  <si>
    <t>Nombre de commande</t>
  </si>
  <si>
    <t>Montant vente</t>
  </si>
  <si>
    <t>Nombre clients</t>
  </si>
  <si>
    <t>Nombre vendeurs</t>
  </si>
  <si>
    <t>Moyenne ventes par commande</t>
  </si>
  <si>
    <t>Moyenne ventes par client</t>
  </si>
  <si>
    <t>Moyenne ventes par vendeur</t>
  </si>
  <si>
    <t>Tshipamba</t>
  </si>
  <si>
    <t>Donnat</t>
  </si>
  <si>
    <t>9</t>
  </si>
  <si>
    <t>10</t>
  </si>
  <si>
    <t>Mukala</t>
  </si>
  <si>
    <t>Albert</t>
  </si>
  <si>
    <t>Funa, Kasa-Vubu, Assossa</t>
  </si>
  <si>
    <t>11</t>
  </si>
  <si>
    <t>Héritier</t>
  </si>
  <si>
    <t>Funa, Ngiri-Ngiri, Luyeye</t>
  </si>
  <si>
    <t>12</t>
  </si>
  <si>
    <t>Kanku</t>
  </si>
  <si>
    <t>Mont-Amba, Limete, Kingabwa</t>
  </si>
  <si>
    <t>Tshibamba</t>
  </si>
  <si>
    <t>Sacky</t>
  </si>
  <si>
    <t>13</t>
  </si>
  <si>
    <t>Mbuyi</t>
  </si>
  <si>
    <t>Jeanette</t>
  </si>
  <si>
    <t>Mont-Amba, Matete, Mandina</t>
  </si>
  <si>
    <t>15</t>
  </si>
  <si>
    <t>Mupanga</t>
  </si>
  <si>
    <t>Patrick</t>
  </si>
  <si>
    <t>Lukunga, Barumbu, Ndolo</t>
  </si>
  <si>
    <t>17</t>
  </si>
  <si>
    <t>Tshituka</t>
  </si>
  <si>
    <t>Martine</t>
  </si>
  <si>
    <t>Lukunga, Kinshasa, Saint-Paul</t>
  </si>
  <si>
    <t>C:\Users\HP\Desktop\1741689394078.jpg</t>
  </si>
  <si>
    <t>18</t>
  </si>
  <si>
    <t>David</t>
  </si>
  <si>
    <t>mbatadavid@gmail.com</t>
  </si>
  <si>
    <t>Mont-Amba, Ngaba, Université</t>
  </si>
  <si>
    <t>FACTURE N° : 46</t>
  </si>
  <si>
    <t>Date et heure : 02/09/2025 07:00:11</t>
  </si>
  <si>
    <t>Monsieur Mbata David</t>
  </si>
  <si>
    <t>Tél : 817263849</t>
  </si>
  <si>
    <t>Vendeur : Mutuala Bernard</t>
  </si>
  <si>
    <t>Tél. : 812598453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</si>
</sst>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F800]dddd\,\ mmmm\ dd\,\ yyyy"/>
    <numFmt numFmtId="165" formatCode="#,##0\ [$FC-240C]"/>
    <numFmt numFmtId="166" formatCode="dd/mm/yyyy\ hh:mm:ss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Book Antiqua"/>
      <family val="1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Bookman Old Style"/>
      <family val="1"/>
    </font>
    <font>
      <b/>
      <sz val="11"/>
      <color theme="0"/>
      <name val="Calibri"/>
      <family val="2"/>
      <scheme val="minor"/>
    </font>
    <font>
      <b/>
      <sz val="12"/>
      <color theme="0"/>
      <name val="Book Antiqua"/>
      <family val="1"/>
    </font>
    <font>
      <sz val="12"/>
      <color theme="1"/>
      <name val="Times New Roman"/>
      <family val="1"/>
    </font>
    <font>
      <i/>
      <sz val="16"/>
      <color theme="0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theme="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  <xf numFmtId="0" fontId="2" fillId="0" borderId="1" xfId="0" applyFont="1" applyBorder="1"/>
    <xf numFmtId="0" fontId="2" fillId="0" borderId="6" xfId="0" applyFont="1" applyBorder="1"/>
    <xf numFmtId="0" fontId="2" fillId="0" borderId="1" xfId="0" applyFont="1" applyBorder="1" applyAlignment="1">
      <alignment horizontal="left"/>
    </xf>
    <xf numFmtId="49" fontId="0" fillId="0" borderId="0" xfId="0" applyNumberFormat="1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/>
    <xf numFmtId="1" fontId="0" fillId="0" borderId="0" xfId="0" applyNumberFormat="1"/>
    <xf numFmtId="1" fontId="2" fillId="0" borderId="7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49" fontId="0" fillId="0" borderId="2" xfId="0" applyNumberFormat="1" applyBorder="1"/>
    <xf numFmtId="49" fontId="2" fillId="0" borderId="1" xfId="0" applyNumberFormat="1" applyFont="1" applyBorder="1"/>
    <xf numFmtId="49" fontId="2" fillId="0" borderId="2" xfId="0" applyNumberFormat="1" applyFont="1" applyBorder="1"/>
    <xf numFmtId="49" fontId="2" fillId="0" borderId="5" xfId="0" applyNumberFormat="1" applyFont="1" applyBorder="1"/>
    <xf numFmtId="49" fontId="2" fillId="0" borderId="2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2" xfId="0" applyNumberFormat="1" applyBorder="1"/>
    <xf numFmtId="1" fontId="0" fillId="0" borderId="3" xfId="0" applyNumberFormat="1" applyBorder="1"/>
    <xf numFmtId="49" fontId="0" fillId="0" borderId="3" xfId="0" applyNumberFormat="1" applyBorder="1"/>
    <xf numFmtId="164" fontId="7" fillId="7" borderId="3" xfId="0" applyNumberFormat="1" applyFont="1" applyFill="1" applyBorder="1"/>
    <xf numFmtId="49" fontId="7" fillId="7" borderId="3" xfId="0" applyNumberFormat="1" applyFont="1" applyFill="1" applyBorder="1"/>
    <xf numFmtId="0" fontId="8" fillId="7" borderId="3" xfId="0" applyFont="1" applyFill="1" applyBorder="1"/>
    <xf numFmtId="0" fontId="8" fillId="7" borderId="3" xfId="0" applyFont="1" applyFill="1" applyBorder="1" applyAlignment="1">
      <alignment horizontal="center" vertical="center"/>
    </xf>
    <xf numFmtId="0" fontId="7" fillId="7" borderId="3" xfId="0" applyFont="1" applyFill="1" applyBorder="1"/>
    <xf numFmtId="0" fontId="7" fillId="7" borderId="4" xfId="0" applyFont="1" applyFill="1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164" fontId="9" fillId="0" borderId="7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2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/>
    </xf>
    <xf numFmtId="1" fontId="9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0" fillId="0" borderId="1" xfId="0" applyNumberForma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NumberFormat="1"/>
    <xf numFmtId="0" fontId="0" fillId="6" borderId="0" xfId="0" applyFill="1"/>
    <xf numFmtId="0" fontId="0" fillId="6" borderId="0" xfId="0" applyFill="1" applyBorder="1" applyAlignment="1"/>
    <xf numFmtId="165" fontId="0" fillId="0" borderId="0" xfId="0" applyNumberFormat="1"/>
    <xf numFmtId="0" fontId="0" fillId="0" borderId="1" xfId="0" applyNumberFormat="1" applyBorder="1"/>
    <xf numFmtId="22" fontId="0" fillId="0" borderId="1" xfId="0" applyNumberFormat="1" applyBorder="1"/>
    <xf numFmtId="166" fontId="9" fillId="0" borderId="7" xfId="0" applyNumberFormat="1" applyFont="1" applyBorder="1" applyAlignment="1">
      <alignment horizontal="center" vertical="center"/>
    </xf>
    <xf numFmtId="0" fontId="0" fillId="3" borderId="0" xfId="0" applyFill="1"/>
    <xf numFmtId="0" fontId="0" fillId="6" borderId="0" xfId="0" applyFill="1" applyAlignment="1">
      <alignment horizontal="center"/>
    </xf>
    <xf numFmtId="0" fontId="6" fillId="6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108"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Book Antiqu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z val="10"/>
        <name val="Arial"/>
        <family val="2"/>
        <scheme val="none"/>
      </font>
    </dxf>
  </dxfs>
  <tableStyles count="1" defaultTableStyle="TableStyleMedium2" defaultPivotStyle="PivotStyleLight16">
    <tableStyle name="Style de segment 1" pivot="0" table="0" count="2" xr9:uid="{908AB8A5-9274-4855-BCED-B25FA0EB8C8C}">
      <tableStyleElement type="headerRow" dxfId="107"/>
    </tableStyle>
  </tableStyles>
  <extLst>
    <ext xmlns:x14="http://schemas.microsoft.com/office/spreadsheetml/2009/9/main" uri="{46F421CA-312F-682f-3DD2-61675219B42D}">
      <x14:dxfs count="1">
        <dxf>
          <font>
            <b val="0"/>
            <i/>
            <sz val="11"/>
            <color theme="0"/>
            <name val="Bookman Old Style"/>
            <family val="1"/>
            <scheme val="none"/>
          </font>
          <fill>
            <patternFill>
              <bgColor theme="4" tint="-0.499984740745262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de segment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0.xml"/><Relationship Id="rId21" Type="http://schemas.microsoft.com/office/2007/relationships/slicerCache" Target="slicerCaches/slicerCache5.xml"/><Relationship Id="rId42" Type="http://schemas.openxmlformats.org/officeDocument/2006/relationships/pivotTable" Target="pivotTables/pivotTable2.xml"/><Relationship Id="rId47" Type="http://schemas.openxmlformats.org/officeDocument/2006/relationships/pivotTable" Target="pivotTables/pivotTable7.xml"/><Relationship Id="rId63" Type="http://schemas.openxmlformats.org/officeDocument/2006/relationships/customXml" Target="../customXml/item9.xml"/><Relationship Id="rId68" Type="http://schemas.openxmlformats.org/officeDocument/2006/relationships/customXml" Target="../customXml/item14.xml"/><Relationship Id="rId84" Type="http://schemas.openxmlformats.org/officeDocument/2006/relationships/customXml" Target="../customXml/item30.xml"/><Relationship Id="rId89" Type="http://schemas.openxmlformats.org/officeDocument/2006/relationships/customXml" Target="../customXml/item35.xml"/><Relationship Id="rId16" Type="http://schemas.openxmlformats.org/officeDocument/2006/relationships/pivotCacheDefinition" Target="pivotCache/pivotCacheDefinition2.xml"/><Relationship Id="rId11" Type="http://schemas.openxmlformats.org/officeDocument/2006/relationships/worksheet" Target="worksheets/sheet11.xml"/><Relationship Id="rId32" Type="http://schemas.microsoft.com/office/2007/relationships/slicerCache" Target="slicerCaches/slicerCache16.xml"/><Relationship Id="rId37" Type="http://schemas.openxmlformats.org/officeDocument/2006/relationships/pivotCacheDefinition" Target="pivotCache/pivotCacheDefinition7.xml"/><Relationship Id="rId53" Type="http://schemas.openxmlformats.org/officeDocument/2006/relationships/powerPivotData" Target="model/item.data"/><Relationship Id="rId58" Type="http://schemas.openxmlformats.org/officeDocument/2006/relationships/customXml" Target="../customXml/item4.xml"/><Relationship Id="rId74" Type="http://schemas.openxmlformats.org/officeDocument/2006/relationships/customXml" Target="../customXml/item20.xml"/><Relationship Id="rId79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36.xml"/><Relationship Id="rId22" Type="http://schemas.microsoft.com/office/2007/relationships/slicerCache" Target="slicerCaches/slicerCache6.xml"/><Relationship Id="rId27" Type="http://schemas.microsoft.com/office/2007/relationships/slicerCache" Target="slicerCaches/slicerCache11.xml"/><Relationship Id="rId43" Type="http://schemas.openxmlformats.org/officeDocument/2006/relationships/pivotTable" Target="pivotTables/pivotTable3.xml"/><Relationship Id="rId48" Type="http://schemas.openxmlformats.org/officeDocument/2006/relationships/pivotTable" Target="pivotTables/pivotTable8.xml"/><Relationship Id="rId64" Type="http://schemas.openxmlformats.org/officeDocument/2006/relationships/customXml" Target="../customXml/item10.xml"/><Relationship Id="rId69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72" Type="http://schemas.openxmlformats.org/officeDocument/2006/relationships/customXml" Target="../customXml/item18.xml"/><Relationship Id="rId80" Type="http://schemas.openxmlformats.org/officeDocument/2006/relationships/customXml" Target="../customXml/item26.xml"/><Relationship Id="rId85" Type="http://schemas.openxmlformats.org/officeDocument/2006/relationships/customXml" Target="../customXml/item31.xml"/><Relationship Id="rId93" Type="http://schemas.openxmlformats.org/officeDocument/2006/relationships/customXml" Target="../customXml/item3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7/relationships/slicerCache" Target="slicerCaches/slicerCache9.xml"/><Relationship Id="rId33" Type="http://schemas.openxmlformats.org/officeDocument/2006/relationships/pivotCacheDefinition" Target="pivotCache/pivotCacheDefinition3.xml"/><Relationship Id="rId38" Type="http://schemas.openxmlformats.org/officeDocument/2006/relationships/pivotCacheDefinition" Target="pivotCache/pivotCacheDefinition8.xml"/><Relationship Id="rId46" Type="http://schemas.openxmlformats.org/officeDocument/2006/relationships/pivotTable" Target="pivotTables/pivotTable6.xml"/><Relationship Id="rId59" Type="http://schemas.openxmlformats.org/officeDocument/2006/relationships/customXml" Target="../customXml/item5.xml"/><Relationship Id="rId67" Type="http://schemas.openxmlformats.org/officeDocument/2006/relationships/customXml" Target="../customXml/item13.xml"/><Relationship Id="rId20" Type="http://schemas.microsoft.com/office/2007/relationships/slicerCache" Target="slicerCaches/slicerCache4.xml"/><Relationship Id="rId41" Type="http://schemas.openxmlformats.org/officeDocument/2006/relationships/pivotTable" Target="pivotTables/pivotTable1.xml"/><Relationship Id="rId54" Type="http://schemas.openxmlformats.org/officeDocument/2006/relationships/calcChain" Target="calcChain.xml"/><Relationship Id="rId62" Type="http://schemas.openxmlformats.org/officeDocument/2006/relationships/customXml" Target="../customXml/item8.xml"/><Relationship Id="rId70" Type="http://schemas.openxmlformats.org/officeDocument/2006/relationships/customXml" Target="../customXml/item16.xml"/><Relationship Id="rId75" Type="http://schemas.openxmlformats.org/officeDocument/2006/relationships/customXml" Target="../customXml/item21.xml"/><Relationship Id="rId83" Type="http://schemas.openxmlformats.org/officeDocument/2006/relationships/customXml" Target="../customXml/item29.xml"/><Relationship Id="rId88" Type="http://schemas.openxmlformats.org/officeDocument/2006/relationships/customXml" Target="../customXml/item34.xml"/><Relationship Id="rId91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7.xml"/><Relationship Id="rId28" Type="http://schemas.microsoft.com/office/2007/relationships/slicerCache" Target="slicerCaches/slicerCache12.xml"/><Relationship Id="rId36" Type="http://schemas.openxmlformats.org/officeDocument/2006/relationships/pivotCacheDefinition" Target="pivotCache/pivotCacheDefinition6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15.xml"/><Relationship Id="rId44" Type="http://schemas.openxmlformats.org/officeDocument/2006/relationships/pivotTable" Target="pivotTables/pivotTable4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65" Type="http://schemas.openxmlformats.org/officeDocument/2006/relationships/customXml" Target="../customXml/item11.xml"/><Relationship Id="rId73" Type="http://schemas.openxmlformats.org/officeDocument/2006/relationships/customXml" Target="../customXml/item19.xml"/><Relationship Id="rId78" Type="http://schemas.openxmlformats.org/officeDocument/2006/relationships/customXml" Target="../customXml/item24.xml"/><Relationship Id="rId81" Type="http://schemas.openxmlformats.org/officeDocument/2006/relationships/customXml" Target="../customXml/item27.xml"/><Relationship Id="rId86" Type="http://schemas.openxmlformats.org/officeDocument/2006/relationships/customXml" Target="../customXml/item32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9" Type="http://schemas.openxmlformats.org/officeDocument/2006/relationships/pivotCacheDefinition" Target="pivotCache/pivotCacheDefinition9.xml"/><Relationship Id="rId34" Type="http://schemas.openxmlformats.org/officeDocument/2006/relationships/pivotCacheDefinition" Target="pivotCache/pivotCacheDefinition4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6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7.xml"/><Relationship Id="rId92" Type="http://schemas.openxmlformats.org/officeDocument/2006/relationships/customXml" Target="../customXml/item38.xml"/><Relationship Id="rId2" Type="http://schemas.openxmlformats.org/officeDocument/2006/relationships/worksheet" Target="worksheets/sheet2.xml"/><Relationship Id="rId29" Type="http://schemas.microsoft.com/office/2007/relationships/slicerCache" Target="slicerCaches/slicerCache13.xml"/><Relationship Id="rId24" Type="http://schemas.microsoft.com/office/2007/relationships/slicerCache" Target="slicerCaches/slicerCache8.xml"/><Relationship Id="rId40" Type="http://schemas.openxmlformats.org/officeDocument/2006/relationships/pivotCacheDefinition" Target="pivotCache/pivotCacheDefinition10.xml"/><Relationship Id="rId45" Type="http://schemas.openxmlformats.org/officeDocument/2006/relationships/pivotTable" Target="pivotTables/pivotTable5.xml"/><Relationship Id="rId66" Type="http://schemas.openxmlformats.org/officeDocument/2006/relationships/customXml" Target="../customXml/item12.xml"/><Relationship Id="rId87" Type="http://schemas.openxmlformats.org/officeDocument/2006/relationships/customXml" Target="../customXml/item33.xml"/><Relationship Id="rId61" Type="http://schemas.openxmlformats.org/officeDocument/2006/relationships/customXml" Target="../customXml/item7.xml"/><Relationship Id="rId82" Type="http://schemas.openxmlformats.org/officeDocument/2006/relationships/customXml" Target="../customXml/item28.xml"/><Relationship Id="rId19" Type="http://schemas.microsoft.com/office/2007/relationships/slicerCache" Target="slicerCaches/slicerCache3.xml"/><Relationship Id="rId14" Type="http://schemas.openxmlformats.org/officeDocument/2006/relationships/worksheet" Target="worksheets/sheet14.xml"/><Relationship Id="rId30" Type="http://schemas.microsoft.com/office/2007/relationships/slicerCache" Target="slicerCaches/slicerCache14.xml"/><Relationship Id="rId35" Type="http://schemas.openxmlformats.org/officeDocument/2006/relationships/pivotCacheDefinition" Target="pivotCache/pivotCacheDefinition5.xml"/><Relationship Id="rId56" Type="http://schemas.openxmlformats.org/officeDocument/2006/relationships/customXml" Target="../customXml/item2.xml"/><Relationship Id="rId77" Type="http://schemas.openxmlformats.org/officeDocument/2006/relationships/customXml" Target="../customXml/item2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Ventes par district</a:t>
            </a:r>
          </a:p>
        </c:rich>
      </c:tx>
      <c:layout>
        <c:manualLayout>
          <c:xMode val="edge"/>
          <c:yMode val="edge"/>
          <c:x val="0.38390852603100795"/>
          <c:y val="5.4521414694566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216249870452092"/>
          <c:y val="0.26312375230811297"/>
          <c:w val="0.24632014342306555"/>
          <c:h val="0.59642312719809132"/>
        </c:manualLayout>
      </c:layout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0D-4758-84F1-22A3A9E565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0D-4758-84F1-22A3A9E565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3-4F3B-8F0B-014CCAF94A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3-4F3B-8F0B-014CCAF94AB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F3-4F3B-8F0B-014CCAF94AB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F3-4F3B-8F0B-014CCAF94AB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AF3-4F3B-8F0B-014CCAF94AB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AF3-4F3B-8F0B-014CCAF94A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Funa</c:v>
              </c:pt>
              <c:pt idx="1">
                <c:v>Lukunga</c:v>
              </c:pt>
              <c:pt idx="2">
                <c:v>Mont-Amba</c:v>
              </c:pt>
              <c:pt idx="3">
                <c:v>Tshangu</c:v>
              </c:pt>
            </c:strLit>
          </c:cat>
          <c:val>
            <c:numLit>
              <c:formatCode>General</c:formatCode>
              <c:ptCount val="4"/>
              <c:pt idx="0">
                <c:v>56500</c:v>
              </c:pt>
              <c:pt idx="1">
                <c:v>586000</c:v>
              </c:pt>
              <c:pt idx="2">
                <c:v>532500</c:v>
              </c:pt>
              <c:pt idx="3">
                <c:v>314000</c:v>
              </c:pt>
            </c:numLit>
          </c:val>
          <c:extLst>
            <c:ext xmlns:c16="http://schemas.microsoft.com/office/drawing/2014/chart" uri="{C3380CC4-5D6E-409C-BE32-E72D297353CC}">
              <c16:uniqueId val="{00000001-53AD-46DC-9D46-4B4D9867B7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025514571870805"/>
          <c:y val="0.25686527989971397"/>
          <c:w val="0.29006510652318174"/>
          <c:h val="0.6872307752575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[Application_Gestion_Ventes_Excel_VBA_Dasboard_Temps_Reel.xlsm]PivotChartTable2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32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Ventes par commune</a:t>
            </a:r>
          </a:p>
        </c:rich>
      </c:tx>
      <c:layout>
        <c:manualLayout>
          <c:xMode val="edge"/>
          <c:yMode val="edge"/>
          <c:x val="0.35150056299226401"/>
          <c:y val="3.7851883770396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32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3284672678142939"/>
              <c:y val="-3.167834753766331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8.5401467216633192E-2"/>
              <c:y val="9.50350426129897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269763436990733"/>
          <c:y val="0.40899366019683175"/>
          <c:w val="0.21075249698314777"/>
          <c:h val="0.44983345353709003"/>
        </c:manualLayout>
      </c:layout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2B-469E-B18C-46F9BE9947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2B-469E-B18C-46F9BE9947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37-4909-92FF-BD1955ECFC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37-4909-92FF-BD1955ECFCA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337-4909-92FF-BD1955ECFCA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337-4909-92FF-BD1955ECFCA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5C3-4DC7-AC8A-9975F59F27C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5C3-4DC7-AC8A-9975F59F27C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85C-4838-BF6A-D88DB032FE7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E23-436F-BD5D-7AB8BA9247F4}"/>
              </c:ext>
            </c:extLst>
          </c:dPt>
          <c:dLbls>
            <c:dLbl>
              <c:idx val="2"/>
              <c:layout>
                <c:manualLayout>
                  <c:x val="8.5401467216633192E-2"/>
                  <c:y val="9.5035042612989742E-2"/>
                </c:manualLayout>
              </c:layout>
              <c:showLegendKey val="1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37-4909-92FF-BD1955ECFCAC}"/>
                </c:ext>
              </c:extLst>
            </c:dLbl>
            <c:dLbl>
              <c:idx val="3"/>
              <c:layout>
                <c:manualLayout>
                  <c:x val="-0.13284672678142939"/>
                  <c:y val="-3.1678347537663319E-2"/>
                </c:manualLayout>
              </c:layout>
              <c:showLegendKey val="1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37-4909-92FF-BD1955ECFC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 Barumbu</c:v>
              </c:pt>
              <c:pt idx="1">
                <c:v> Gombe</c:v>
              </c:pt>
              <c:pt idx="2">
                <c:v> Kasa-Vubu</c:v>
              </c:pt>
              <c:pt idx="3">
                <c:v> Kimbanseke</c:v>
              </c:pt>
              <c:pt idx="4">
                <c:v> Kinshasa</c:v>
              </c:pt>
              <c:pt idx="5">
                <c:v> Lemba</c:v>
              </c:pt>
              <c:pt idx="6">
                <c:v> Limete</c:v>
              </c:pt>
              <c:pt idx="7">
                <c:v> Matete</c:v>
              </c:pt>
              <c:pt idx="8">
                <c:v> Ngaba</c:v>
              </c:pt>
              <c:pt idx="9">
                <c:v> Ngiri-Ngiri</c:v>
              </c:pt>
            </c:strLit>
          </c:cat>
          <c:val>
            <c:numLit>
              <c:formatCode>General</c:formatCode>
              <c:ptCount val="10"/>
              <c:pt idx="0">
                <c:v>400000</c:v>
              </c:pt>
              <c:pt idx="1">
                <c:v>161000</c:v>
              </c:pt>
              <c:pt idx="2">
                <c:v>43000</c:v>
              </c:pt>
              <c:pt idx="3">
                <c:v>314000</c:v>
              </c:pt>
              <c:pt idx="4">
                <c:v>25000</c:v>
              </c:pt>
              <c:pt idx="5">
                <c:v>163000</c:v>
              </c:pt>
              <c:pt idx="6">
                <c:v>27500</c:v>
              </c:pt>
              <c:pt idx="7">
                <c:v>62000</c:v>
              </c:pt>
              <c:pt idx="8">
                <c:v>280000</c:v>
              </c:pt>
              <c:pt idx="9">
                <c:v>13500</c:v>
              </c:pt>
            </c:numLit>
          </c:val>
          <c:extLst>
            <c:ext xmlns:c16="http://schemas.microsoft.com/office/drawing/2014/chart" uri="{C3380CC4-5D6E-409C-BE32-E72D297353CC}">
              <c16:uniqueId val="{00000001-2D2B-469E-B18C-46F9BE9947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967715873619124"/>
          <c:y val="0.35151434053497482"/>
          <c:w val="0.33333321607994237"/>
          <c:h val="0.333379379494351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1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tx1">
              <a:lumMod val="95000"/>
              <a:lumOff val="5000"/>
            </a:schemeClr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[Application_Gestion_Ventes_Excel_VBA_Dasboard_Temps_Reel.xlsm]PivotChartTable3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32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Ventes par quartier</a:t>
            </a:r>
          </a:p>
        </c:rich>
      </c:tx>
      <c:layout>
        <c:manualLayout>
          <c:xMode val="edge"/>
          <c:yMode val="edge"/>
          <c:x val="0.34952974809049597"/>
          <c:y val="1.41275517890418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32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083958480599807"/>
          <c:y val="0.40457745180223176"/>
          <c:w val="0.21822933291756344"/>
          <c:h val="0.38848141945638931"/>
        </c:manualLayout>
      </c:layout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4C-4249-874B-A7E09A4513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4C-4249-874B-A7E09A4513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4C-4249-874B-A7E09A4513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D47-479E-82CC-7E3282BB6A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D47-479E-82CC-7E3282BB6A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D47-479E-82CC-7E3282BB6A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D47-479E-82CC-7E3282BB6A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FD5-4574-8019-22FD544B5D3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FD5-4574-8019-22FD544B5D3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0E7-454D-B6CE-66EEB4046DB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671-44B1-AED0-59025652DD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 Assossa</c:v>
              </c:pt>
              <c:pt idx="1">
                <c:v> Commerce</c:v>
              </c:pt>
              <c:pt idx="2">
                <c:v> Kingabwa</c:v>
              </c:pt>
              <c:pt idx="3">
                <c:v> Kingasani</c:v>
              </c:pt>
              <c:pt idx="4">
                <c:v> Luyeye</c:v>
              </c:pt>
              <c:pt idx="5">
                <c:v> Mandina</c:v>
              </c:pt>
              <c:pt idx="6">
                <c:v> Mikondo</c:v>
              </c:pt>
              <c:pt idx="7">
                <c:v> Ndolo</c:v>
              </c:pt>
              <c:pt idx="8">
                <c:v> Righini</c:v>
              </c:pt>
              <c:pt idx="9">
                <c:v> Saint-Paul</c:v>
              </c:pt>
              <c:pt idx="10">
                <c:v> Université</c:v>
              </c:pt>
            </c:strLit>
          </c:cat>
          <c:val>
            <c:numLit>
              <c:formatCode>General</c:formatCode>
              <c:ptCount val="11"/>
              <c:pt idx="0">
                <c:v>43000</c:v>
              </c:pt>
              <c:pt idx="1">
                <c:v>161000</c:v>
              </c:pt>
              <c:pt idx="2">
                <c:v>27500</c:v>
              </c:pt>
              <c:pt idx="3">
                <c:v>64000</c:v>
              </c:pt>
              <c:pt idx="4">
                <c:v>13500</c:v>
              </c:pt>
              <c:pt idx="5">
                <c:v>62000</c:v>
              </c:pt>
              <c:pt idx="6">
                <c:v>250000</c:v>
              </c:pt>
              <c:pt idx="7">
                <c:v>400000</c:v>
              </c:pt>
              <c:pt idx="8">
                <c:v>163000</c:v>
              </c:pt>
              <c:pt idx="9">
                <c:v>25000</c:v>
              </c:pt>
              <c:pt idx="10">
                <c:v>280000</c:v>
              </c:pt>
            </c:numLit>
          </c:val>
          <c:extLst>
            <c:ext xmlns:c16="http://schemas.microsoft.com/office/drawing/2014/chart" uri="{C3380CC4-5D6E-409C-BE32-E72D297353CC}">
              <c16:uniqueId val="{00000001-9161-4B0F-AA3D-32EA85552A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990850252955955"/>
          <c:y val="0.20536084330232149"/>
          <c:w val="0.33333333333333331"/>
          <c:h val="0.68370786973397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1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tx1">
              <a:lumMod val="95000"/>
              <a:lumOff val="5000"/>
            </a:schemeClr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[Application_Gestion_Ventes_Excel_VBA_Dasboard_Temps_Reel.xlsm]PivotChartTable4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32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Ventes</a:t>
            </a:r>
            <a:r>
              <a:rPr lang="en-US" baseline="0"/>
              <a:t> par catégorie produit</a:t>
            </a:r>
            <a:endParaRPr lang="en-US"/>
          </a:p>
        </c:rich>
      </c:tx>
      <c:layout>
        <c:manualLayout>
          <c:xMode val="edge"/>
          <c:yMode val="edge"/>
          <c:x val="0.30407800159209608"/>
          <c:y val="5.0362216054491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32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137281542245817E-2"/>
          <c:y val="0.25471754774702743"/>
          <c:w val="0.91372543691550834"/>
          <c:h val="0.39842071374645527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Boisson</c:v>
              </c:pt>
              <c:pt idx="1">
                <c:v>Cosmétique</c:v>
              </c:pt>
              <c:pt idx="2">
                <c:v>Cuisine</c:v>
              </c:pt>
              <c:pt idx="3">
                <c:v>Habillement</c:v>
              </c:pt>
              <c:pt idx="4">
                <c:v>Mécanique</c:v>
              </c:pt>
            </c:strLit>
          </c:cat>
          <c:val>
            <c:numLit>
              <c:formatCode>General</c:formatCode>
              <c:ptCount val="5"/>
              <c:pt idx="0">
                <c:v>13500</c:v>
              </c:pt>
              <c:pt idx="1">
                <c:v>113500</c:v>
              </c:pt>
              <c:pt idx="2">
                <c:v>652000</c:v>
              </c:pt>
              <c:pt idx="3">
                <c:v>450000</c:v>
              </c:pt>
              <c:pt idx="4">
                <c:v>260000</c:v>
              </c:pt>
            </c:numLit>
          </c:val>
          <c:extLst>
            <c:ext xmlns:c16="http://schemas.microsoft.com/office/drawing/2014/chart" uri="{C3380CC4-5D6E-409C-BE32-E72D297353CC}">
              <c16:uniqueId val="{00000001-A94F-48C8-8803-6D61242034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372464"/>
        <c:axId val="1953375792"/>
      </c:barChart>
      <c:catAx>
        <c:axId val="19533724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375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53375792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195337246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tx1">
              <a:lumMod val="95000"/>
              <a:lumOff val="5000"/>
            </a:schemeClr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[Application_Gestion_Ventes_Excel_VBA_Dasboard_Temps_Reel.xlsm]PivotChartTable5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Ventes par produit</a:t>
            </a:r>
          </a:p>
        </c:rich>
      </c:tx>
      <c:layout>
        <c:manualLayout>
          <c:xMode val="edge"/>
          <c:yMode val="edge"/>
          <c:x val="0.46266542764082641"/>
          <c:y val="3.8532612111174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294713585587407E-2"/>
          <c:y val="0.22196115919028062"/>
          <c:w val="0.95055790488921732"/>
          <c:h val="0.4526980413230724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3"/>
              <c:pt idx="0">
                <c:v>Basket Air Force</c:v>
              </c:pt>
              <c:pt idx="1">
                <c:v>Chocolat en boite</c:v>
              </c:pt>
              <c:pt idx="2">
                <c:v>Crayon Cils</c:v>
              </c:pt>
              <c:pt idx="3">
                <c:v>Disque Moteur</c:v>
              </c:pt>
              <c:pt idx="4">
                <c:v>Italy Cuir Boucle</c:v>
              </c:pt>
              <c:pt idx="5">
                <c:v>Mascara</c:v>
              </c:pt>
              <c:pt idx="6">
                <c:v>Mayonnaise Grand Format</c:v>
              </c:pt>
              <c:pt idx="7">
                <c:v>Nkoyi</c:v>
              </c:pt>
              <c:pt idx="8">
                <c:v>Rouge à lèvres</c:v>
              </c:pt>
              <c:pt idx="9">
                <c:v>Sel à boules</c:v>
              </c:pt>
              <c:pt idx="10">
                <c:v>Sel de table</c:v>
              </c:pt>
              <c:pt idx="11">
                <c:v>Tomate Appolo</c:v>
              </c:pt>
              <c:pt idx="12">
                <c:v>Vidage 1 litre</c:v>
              </c:pt>
            </c:strLit>
          </c:cat>
          <c:val>
            <c:numLit>
              <c:formatCode>General</c:formatCode>
              <c:ptCount val="13"/>
              <c:pt idx="0">
                <c:v>50000</c:v>
              </c:pt>
              <c:pt idx="1">
                <c:v>160000</c:v>
              </c:pt>
              <c:pt idx="2">
                <c:v>24000</c:v>
              </c:pt>
              <c:pt idx="3">
                <c:v>200000</c:v>
              </c:pt>
              <c:pt idx="4">
                <c:v>400000</c:v>
              </c:pt>
              <c:pt idx="5">
                <c:v>77500</c:v>
              </c:pt>
              <c:pt idx="6">
                <c:v>280000</c:v>
              </c:pt>
              <c:pt idx="7">
                <c:v>13500</c:v>
              </c:pt>
              <c:pt idx="8">
                <c:v>12000</c:v>
              </c:pt>
              <c:pt idx="9">
                <c:v>160000</c:v>
              </c:pt>
              <c:pt idx="10">
                <c:v>50000</c:v>
              </c:pt>
              <c:pt idx="11">
                <c:v>2000</c:v>
              </c:pt>
              <c:pt idx="12">
                <c:v>60000</c:v>
              </c:pt>
            </c:numLit>
          </c:val>
          <c:extLst>
            <c:ext xmlns:c16="http://schemas.microsoft.com/office/drawing/2014/chart" uri="{C3380CC4-5D6E-409C-BE32-E72D297353CC}">
              <c16:uniqueId val="{00000001-FDE5-4472-B98B-F62DFDF6B2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63353584"/>
        <c:axId val="1763354000"/>
      </c:barChart>
      <c:catAx>
        <c:axId val="1763353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35400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7633540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176335358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[Application_Gestion_Ventes_Excel_VBA_Dasboard_Temps_Reel.xlsm]PivotChartTable6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mensuelle des ventes</a:t>
            </a:r>
          </a:p>
        </c:rich>
      </c:tx>
      <c:layout>
        <c:manualLayout>
          <c:xMode val="edge"/>
          <c:yMode val="edge"/>
          <c:x val="0.28078067402121532"/>
          <c:y val="1.4767882860630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814359145355516E-2"/>
          <c:y val="0.21489295245264475"/>
          <c:w val="0.91437128170928894"/>
          <c:h val="0.46400361225028558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Août</c:v>
              </c:pt>
              <c:pt idx="1">
                <c:v>Septembre</c:v>
              </c:pt>
            </c:strLit>
          </c:cat>
          <c:val>
            <c:numLit>
              <c:formatCode>General</c:formatCode>
              <c:ptCount val="2"/>
              <c:pt idx="0">
                <c:v>477000</c:v>
              </c:pt>
              <c:pt idx="1">
                <c:v>1012000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0D2-4EAE-A6F9-0A27DC3FC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125632"/>
        <c:axId val="517123136"/>
      </c:lineChart>
      <c:catAx>
        <c:axId val="517125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2313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17123136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51712563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[Application_Gestion_Ventes_Excel_VBA_Dasboard_Temps_Reel.xlsm]PivotChartTable7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50">
                <a:solidFill>
                  <a:schemeClr val="tx1">
                    <a:lumMod val="95000"/>
                    <a:lumOff val="5000"/>
                  </a:schemeClr>
                </a:solidFill>
              </a:rPr>
              <a:t>Evolution journalière des ventes</a:t>
            </a:r>
          </a:p>
        </c:rich>
      </c:tx>
      <c:layout>
        <c:manualLayout>
          <c:xMode val="edge"/>
          <c:yMode val="edge"/>
          <c:x val="0.27514087497200379"/>
          <c:y val="2.2761505844484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339017025618896E-2"/>
          <c:y val="0.27880279694471355"/>
          <c:w val="0.93456697368767971"/>
          <c:h val="0.36925272016713123"/>
        </c:manualLayout>
      </c:layout>
      <c:lineChart>
        <c:grouping val="percentStacke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3"/>
              <c:pt idx="0">
                <c:v>Dimanche</c:v>
              </c:pt>
              <c:pt idx="1">
                <c:v>Lundi</c:v>
              </c:pt>
              <c:pt idx="2">
                <c:v>Mardi</c:v>
              </c:pt>
            </c:strLit>
          </c:cat>
          <c:val>
            <c:numLit>
              <c:formatCode>General</c:formatCode>
              <c:ptCount val="3"/>
              <c:pt idx="0">
                <c:v>477000</c:v>
              </c:pt>
              <c:pt idx="1">
                <c:v>732000</c:v>
              </c:pt>
              <c:pt idx="2">
                <c:v>280000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663-4D37-AEDF-F412CB732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549968"/>
        <c:axId val="571552464"/>
      </c:lineChart>
      <c:catAx>
        <c:axId val="571549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55246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71552464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571549968"/>
        <c:crosses val="autoZero"/>
        <c:crossBetween val="between"/>
        <c:extLst>
          <c:ext xmlns:c15="http://schemas.microsoft.com/office/drawing/2012/chart" uri="{F40574EE-89B7-4290-83BB-5DA773EAF853}">
            <c15:numFmt c:formatCode="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[Application_Gestion_Ventes_Excel_VBA_Dasboard_Temps_Reel.xlsm]PivotChartTable8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3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Evolution horaire ventes</a:t>
            </a:r>
          </a:p>
        </c:rich>
      </c:tx>
      <c:layout>
        <c:manualLayout>
          <c:xMode val="edge"/>
          <c:yMode val="edge"/>
          <c:x val="0.33946038090107938"/>
          <c:y val="2.3431235629284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percentStacke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0">
                <c:v>7</c:v>
              </c:pt>
              <c:pt idx="1">
                <c:v>11</c:v>
              </c:pt>
              <c:pt idx="2">
                <c:v>12</c:v>
              </c:pt>
              <c:pt idx="3">
                <c:v>13</c:v>
              </c:pt>
              <c:pt idx="4">
                <c:v>14</c:v>
              </c:pt>
              <c:pt idx="5">
                <c:v>23</c:v>
              </c:pt>
            </c:strLit>
          </c:cat>
          <c:val>
            <c:numLit>
              <c:formatCode>General</c:formatCode>
              <c:ptCount val="6"/>
              <c:pt idx="0">
                <c:v>280000</c:v>
              </c:pt>
              <c:pt idx="1">
                <c:v>161000</c:v>
              </c:pt>
              <c:pt idx="2">
                <c:v>43000</c:v>
              </c:pt>
              <c:pt idx="3">
                <c:v>41000</c:v>
              </c:pt>
              <c:pt idx="4">
                <c:v>487000</c:v>
              </c:pt>
              <c:pt idx="5">
                <c:v>477000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860-42E7-9D7E-2145EB17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529584"/>
        <c:axId val="571537488"/>
      </c:lineChart>
      <c:catAx>
        <c:axId val="571529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5374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71537488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571529584"/>
        <c:crosses val="autoZero"/>
        <c:crossBetween val="between"/>
        <c:extLst>
          <c:ext xmlns:c15="http://schemas.microsoft.com/office/drawing/2012/chart" uri="{F40574EE-89B7-4290-83BB-5DA773EAF853}">
            <c15:numFmt c:formatCode="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[Application_Gestion_Ventes_Excel_VBA_Dasboard_Temps_Reel.xlsm]PivotChartTable9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640955</xdr:colOff>
      <xdr:row>6</xdr:row>
      <xdr:rowOff>161925</xdr:rowOff>
    </xdr:from>
    <xdr:to>
      <xdr:col>5</xdr:col>
      <xdr:colOff>238126</xdr:colOff>
      <xdr:row>9</xdr:row>
      <xdr:rowOff>66675</xdr:rowOff>
    </xdr:to>
    <xdr:sp macro="" textlink="TCD!B7">
      <xdr:nvSpPr>
        <xdr:cNvPr id="15" name="Rectangle 14">
          <a:extLst>
            <a:ext uri="{FF2B5EF4-FFF2-40B4-BE49-F238E27FC236}">
              <a16:creationId xmlns:a16="http://schemas.microsoft.com/office/drawing/2014/main" id="{EBECDB6A-5CBC-4C50-B83F-B6AAB51B815D}"/>
            </a:ext>
          </a:extLst>
        </xdr:cNvPr>
        <xdr:cNvSpPr/>
      </xdr:nvSpPr>
      <xdr:spPr>
        <a:xfrm>
          <a:off x="2932908" y="1302941"/>
          <a:ext cx="1125140" cy="470297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4D7F286-D104-4B27-86A4-A06668353E4D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ctr"/>
            <a:t>12</a:t>
          </a:fld>
          <a:endParaRPr lang="en-AE" sz="1600" b="1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434975</xdr:colOff>
      <xdr:row>4</xdr:row>
      <xdr:rowOff>21897</xdr:rowOff>
    </xdr:from>
    <xdr:to>
      <xdr:col>5</xdr:col>
      <xdr:colOff>349250</xdr:colOff>
      <xdr:row>6</xdr:row>
      <xdr:rowOff>133349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A416780-ECC0-433F-B620-5EA4D4E8037B}"/>
            </a:ext>
          </a:extLst>
        </xdr:cNvPr>
        <xdr:cNvSpPr/>
      </xdr:nvSpPr>
      <xdr:spPr>
        <a:xfrm>
          <a:off x="2720975" y="962491"/>
          <a:ext cx="1128713" cy="4924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Nombre Commandes</a:t>
          </a:r>
        </a:p>
      </xdr:txBody>
    </xdr:sp>
    <xdr:clientData/>
  </xdr:twoCellAnchor>
  <xdr:twoCellAnchor>
    <xdr:from>
      <xdr:col>5</xdr:col>
      <xdr:colOff>297655</xdr:colOff>
      <xdr:row>6</xdr:row>
      <xdr:rowOff>154214</xdr:rowOff>
    </xdr:from>
    <xdr:to>
      <xdr:col>7</xdr:col>
      <xdr:colOff>297655</xdr:colOff>
      <xdr:row>9</xdr:row>
      <xdr:rowOff>78410</xdr:rowOff>
    </xdr:to>
    <xdr:sp macro="" textlink="TCD!C7">
      <xdr:nvSpPr>
        <xdr:cNvPr id="17" name="Rectangle 16">
          <a:extLst>
            <a:ext uri="{FF2B5EF4-FFF2-40B4-BE49-F238E27FC236}">
              <a16:creationId xmlns:a16="http://schemas.microsoft.com/office/drawing/2014/main" id="{48228A95-8CFB-4CE3-AEFD-37BCC6B58873}"/>
            </a:ext>
          </a:extLst>
        </xdr:cNvPr>
        <xdr:cNvSpPr/>
      </xdr:nvSpPr>
      <xdr:spPr>
        <a:xfrm>
          <a:off x="3790155" y="1492250"/>
          <a:ext cx="1496786" cy="502499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3BD3290-574B-4660-B47B-2A774465FD5F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ctr"/>
            <a:t>1 489 000 FC</a:t>
          </a:fld>
          <a:endParaRPr lang="en-AE" sz="1600" b="1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514350</xdr:colOff>
      <xdr:row>4</xdr:row>
      <xdr:rowOff>66675</xdr:rowOff>
    </xdr:from>
    <xdr:to>
      <xdr:col>7</xdr:col>
      <xdr:colOff>219075</xdr:colOff>
      <xdr:row>6</xdr:row>
      <xdr:rowOff>148828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CD00517D-3AE1-400D-8FC3-157E6B700B9F}"/>
            </a:ext>
          </a:extLst>
        </xdr:cNvPr>
        <xdr:cNvSpPr/>
      </xdr:nvSpPr>
      <xdr:spPr>
        <a:xfrm>
          <a:off x="4014788" y="1007269"/>
          <a:ext cx="1204912" cy="4631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 baseline="0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Montant total des ventes</a:t>
          </a:r>
          <a:endParaRPr lang="en-AE" sz="1200" i="1">
            <a:solidFill>
              <a:schemeClr val="tx1"/>
            </a:solidFill>
            <a:latin typeface="Bookman Old Style" panose="020506040505050202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356619</xdr:colOff>
      <xdr:row>6</xdr:row>
      <xdr:rowOff>141458</xdr:rowOff>
    </xdr:from>
    <xdr:to>
      <xdr:col>8</xdr:col>
      <xdr:colOff>428058</xdr:colOff>
      <xdr:row>9</xdr:row>
      <xdr:rowOff>68036</xdr:rowOff>
    </xdr:to>
    <xdr:sp macro="" textlink="TCD!D7">
      <xdr:nvSpPr>
        <xdr:cNvPr id="19" name="Rectangle 18">
          <a:extLst>
            <a:ext uri="{FF2B5EF4-FFF2-40B4-BE49-F238E27FC236}">
              <a16:creationId xmlns:a16="http://schemas.microsoft.com/office/drawing/2014/main" id="{0BFED469-EB9D-4D82-9239-EBD8A0E88BF8}"/>
            </a:ext>
          </a:extLst>
        </xdr:cNvPr>
        <xdr:cNvSpPr/>
      </xdr:nvSpPr>
      <xdr:spPr>
        <a:xfrm>
          <a:off x="5345905" y="1479494"/>
          <a:ext cx="831171" cy="504881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7F5AC8D-B9F0-49C4-95B0-D050C2C2A29C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ctr"/>
            <a:t>11</a:t>
          </a:fld>
          <a:endParaRPr lang="en-AE" sz="1600" b="1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260747</xdr:colOff>
      <xdr:row>4</xdr:row>
      <xdr:rowOff>39688</xdr:rowOff>
    </xdr:from>
    <xdr:to>
      <xdr:col>8</xdr:col>
      <xdr:colOff>555625</xdr:colOff>
      <xdr:row>6</xdr:row>
      <xdr:rowOff>144065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5BF9C5B6-4DD8-46D7-823B-5C38FC371C4F}"/>
            </a:ext>
          </a:extLst>
        </xdr:cNvPr>
        <xdr:cNvSpPr/>
      </xdr:nvSpPr>
      <xdr:spPr>
        <a:xfrm>
          <a:off x="5578872" y="803672"/>
          <a:ext cx="1058862" cy="4814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Nombre Clients</a:t>
          </a:r>
        </a:p>
      </xdr:txBody>
    </xdr:sp>
    <xdr:clientData/>
  </xdr:twoCellAnchor>
  <xdr:twoCellAnchor>
    <xdr:from>
      <xdr:col>8</xdr:col>
      <xdr:colOff>489257</xdr:colOff>
      <xdr:row>6</xdr:row>
      <xdr:rowOff>130969</xdr:rowOff>
    </xdr:from>
    <xdr:to>
      <xdr:col>9</xdr:col>
      <xdr:colOff>547687</xdr:colOff>
      <xdr:row>9</xdr:row>
      <xdr:rowOff>79375</xdr:rowOff>
    </xdr:to>
    <xdr:sp macro="" textlink="TCD!E7">
      <xdr:nvSpPr>
        <xdr:cNvPr id="26" name="Rectangle 25">
          <a:extLst>
            <a:ext uri="{FF2B5EF4-FFF2-40B4-BE49-F238E27FC236}">
              <a16:creationId xmlns:a16="http://schemas.microsoft.com/office/drawing/2014/main" id="{02407A4F-7A10-4EBC-8932-1235F643A7F8}"/>
            </a:ext>
          </a:extLst>
        </xdr:cNvPr>
        <xdr:cNvSpPr/>
      </xdr:nvSpPr>
      <xdr:spPr>
        <a:xfrm>
          <a:off x="6251882" y="1452563"/>
          <a:ext cx="820430" cy="51990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83BF37C-11BB-46FB-8654-5C13A5003D60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2</a:t>
          </a:fld>
          <a:endParaRPr lang="en-AE" sz="5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286456</xdr:colOff>
      <xdr:row>4</xdr:row>
      <xdr:rowOff>3523</xdr:rowOff>
    </xdr:from>
    <xdr:to>
      <xdr:col>9</xdr:col>
      <xdr:colOff>722314</xdr:colOff>
      <xdr:row>6</xdr:row>
      <xdr:rowOff>184115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5344658-7952-4F0F-BE97-338894F3239D}"/>
            </a:ext>
          </a:extLst>
        </xdr:cNvPr>
        <xdr:cNvSpPr/>
      </xdr:nvSpPr>
      <xdr:spPr>
        <a:xfrm>
          <a:off x="6049081" y="944117"/>
          <a:ext cx="1197858" cy="561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Nombre vendeurs </a:t>
          </a:r>
        </a:p>
      </xdr:txBody>
    </xdr:sp>
    <xdr:clientData/>
  </xdr:twoCellAnchor>
  <xdr:twoCellAnchor>
    <xdr:from>
      <xdr:col>9</xdr:col>
      <xdr:colOff>643705</xdr:colOff>
      <xdr:row>6</xdr:row>
      <xdr:rowOff>118717</xdr:rowOff>
    </xdr:from>
    <xdr:to>
      <xdr:col>11</xdr:col>
      <xdr:colOff>654844</xdr:colOff>
      <xdr:row>9</xdr:row>
      <xdr:rowOff>77390</xdr:rowOff>
    </xdr:to>
    <xdr:sp macro="" textlink="TCD!F7">
      <xdr:nvSpPr>
        <xdr:cNvPr id="28" name="Rectangle 27">
          <a:extLst>
            <a:ext uri="{FF2B5EF4-FFF2-40B4-BE49-F238E27FC236}">
              <a16:creationId xmlns:a16="http://schemas.microsoft.com/office/drawing/2014/main" id="{14A89B5C-0C06-403C-8A98-153708815365}"/>
            </a:ext>
          </a:extLst>
        </xdr:cNvPr>
        <xdr:cNvSpPr/>
      </xdr:nvSpPr>
      <xdr:spPr>
        <a:xfrm>
          <a:off x="7168330" y="1440311"/>
          <a:ext cx="1535139" cy="530173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F4CCA0-4DED-4177-AC3F-66D59893D89B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124 083 FC</a:t>
          </a:fld>
          <a:endParaRPr lang="en-AE" sz="5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623465</xdr:colOff>
      <xdr:row>4</xdr:row>
      <xdr:rowOff>6537</xdr:rowOff>
    </xdr:from>
    <xdr:to>
      <xdr:col>11</xdr:col>
      <xdr:colOff>672704</xdr:colOff>
      <xdr:row>6</xdr:row>
      <xdr:rowOff>152215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511448D-F50F-463B-9551-121FB1331710}"/>
            </a:ext>
          </a:extLst>
        </xdr:cNvPr>
        <xdr:cNvSpPr/>
      </xdr:nvSpPr>
      <xdr:spPr>
        <a:xfrm>
          <a:off x="7148090" y="947131"/>
          <a:ext cx="1573239" cy="5266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Ventes moyennes par commande</a:t>
          </a:r>
        </a:p>
      </xdr:txBody>
    </xdr:sp>
    <xdr:clientData/>
  </xdr:twoCellAnchor>
  <xdr:twoCellAnchor>
    <xdr:from>
      <xdr:col>11</xdr:col>
      <xdr:colOff>745460</xdr:colOff>
      <xdr:row>6</xdr:row>
      <xdr:rowOff>109794</xdr:rowOff>
    </xdr:from>
    <xdr:to>
      <xdr:col>13</xdr:col>
      <xdr:colOff>551657</xdr:colOff>
      <xdr:row>9</xdr:row>
      <xdr:rowOff>65484</xdr:rowOff>
    </xdr:to>
    <xdr:sp macro="" textlink="TCD!G7">
      <xdr:nvSpPr>
        <xdr:cNvPr id="32" name="Rectangle 31">
          <a:extLst>
            <a:ext uri="{FF2B5EF4-FFF2-40B4-BE49-F238E27FC236}">
              <a16:creationId xmlns:a16="http://schemas.microsoft.com/office/drawing/2014/main" id="{8B6101E0-36DE-44BE-AC48-4145402D856F}"/>
            </a:ext>
          </a:extLst>
        </xdr:cNvPr>
        <xdr:cNvSpPr/>
      </xdr:nvSpPr>
      <xdr:spPr>
        <a:xfrm>
          <a:off x="8794085" y="1431388"/>
          <a:ext cx="1330197" cy="52719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B8F4681-AED3-4B36-BB95-208F892764BA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135 364 FC</a:t>
          </a:fld>
          <a:endParaRPr lang="en-AE" sz="5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705376</xdr:colOff>
      <xdr:row>4</xdr:row>
      <xdr:rowOff>4212</xdr:rowOff>
    </xdr:from>
    <xdr:to>
      <xdr:col>13</xdr:col>
      <xdr:colOff>648891</xdr:colOff>
      <xdr:row>6</xdr:row>
      <xdr:rowOff>134795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D03BDD8A-80CA-43B0-8526-E4E8FBE4DC0E}"/>
            </a:ext>
          </a:extLst>
        </xdr:cNvPr>
        <xdr:cNvSpPr/>
      </xdr:nvSpPr>
      <xdr:spPr>
        <a:xfrm>
          <a:off x="8754001" y="944806"/>
          <a:ext cx="1467515" cy="5115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Moyenne</a:t>
          </a:r>
          <a:r>
            <a:rPr lang="en-AE" sz="1200" i="1" baseline="0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 v</a:t>
          </a:r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entes par client</a:t>
          </a:r>
        </a:p>
      </xdr:txBody>
    </xdr:sp>
    <xdr:clientData/>
  </xdr:twoCellAnchor>
  <xdr:twoCellAnchor>
    <xdr:from>
      <xdr:col>13</xdr:col>
      <xdr:colOff>619125</xdr:colOff>
      <xdr:row>6</xdr:row>
      <xdr:rowOff>103123</xdr:rowOff>
    </xdr:from>
    <xdr:to>
      <xdr:col>15</xdr:col>
      <xdr:colOff>666750</xdr:colOff>
      <xdr:row>9</xdr:row>
      <xdr:rowOff>71437</xdr:rowOff>
    </xdr:to>
    <xdr:sp macro="" textlink="TCD!H7">
      <xdr:nvSpPr>
        <xdr:cNvPr id="34" name="Rectangle 33">
          <a:extLst>
            <a:ext uri="{FF2B5EF4-FFF2-40B4-BE49-F238E27FC236}">
              <a16:creationId xmlns:a16="http://schemas.microsoft.com/office/drawing/2014/main" id="{5DAB5FE3-2DCE-4448-A0BB-1619841E910B}"/>
            </a:ext>
          </a:extLst>
        </xdr:cNvPr>
        <xdr:cNvSpPr/>
      </xdr:nvSpPr>
      <xdr:spPr>
        <a:xfrm>
          <a:off x="10191750" y="1424717"/>
          <a:ext cx="1571625" cy="539814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67B87B-C5E8-44E6-ABB6-3FCE0230FD4E}" type="TxLink">
            <a:rPr lang="en-US" sz="1600" b="1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744 500 FC</a:t>
          </a:fld>
          <a:endParaRPr lang="en-AE" sz="5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666750</xdr:colOff>
      <xdr:row>4</xdr:row>
      <xdr:rowOff>11242</xdr:rowOff>
    </xdr:from>
    <xdr:to>
      <xdr:col>15</xdr:col>
      <xdr:colOff>655867</xdr:colOff>
      <xdr:row>6</xdr:row>
      <xdr:rowOff>145985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F54FC650-07D3-4639-96FF-B39598A66BCB}"/>
            </a:ext>
          </a:extLst>
        </xdr:cNvPr>
        <xdr:cNvSpPr/>
      </xdr:nvSpPr>
      <xdr:spPr>
        <a:xfrm>
          <a:off x="10239375" y="951836"/>
          <a:ext cx="1513117" cy="5157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200" i="1">
              <a:solidFill>
                <a:schemeClr val="tx1"/>
              </a:solidFill>
              <a:latin typeface="Bookman Old Style" panose="02050604050505020204" pitchFamily="18" charset="0"/>
              <a:cs typeface="Times New Roman" panose="02020603050405020304" pitchFamily="18" charset="0"/>
            </a:rPr>
            <a:t>Moyenne ventes par vendeur</a:t>
          </a:r>
        </a:p>
      </xdr:txBody>
    </xdr:sp>
    <xdr:clientData/>
  </xdr:twoCellAnchor>
  <xdr:twoCellAnchor editAs="oneCell">
    <xdr:from>
      <xdr:col>15</xdr:col>
      <xdr:colOff>749381</xdr:colOff>
      <xdr:row>4</xdr:row>
      <xdr:rowOff>79887</xdr:rowOff>
    </xdr:from>
    <xdr:to>
      <xdr:col>15</xdr:col>
      <xdr:colOff>2572815</xdr:colOff>
      <xdr:row>7</xdr:row>
      <xdr:rowOff>177980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née vente">
              <a:extLst>
                <a:ext uri="{FF2B5EF4-FFF2-40B4-BE49-F238E27FC236}">
                  <a16:creationId xmlns:a16="http://schemas.microsoft.com/office/drawing/2014/main" id="{CE4FA5DD-8077-4E58-9FCD-6E3DC62A2F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v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265" y="1021311"/>
              <a:ext cx="1823434" cy="6629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75525</xdr:colOff>
      <xdr:row>11</xdr:row>
      <xdr:rowOff>147917</xdr:rowOff>
    </xdr:from>
    <xdr:to>
      <xdr:col>3</xdr:col>
      <xdr:colOff>370119</xdr:colOff>
      <xdr:row>14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mmune Client">
              <a:extLst>
                <a:ext uri="{FF2B5EF4-FFF2-40B4-BE49-F238E27FC236}">
                  <a16:creationId xmlns:a16="http://schemas.microsoft.com/office/drawing/2014/main" id="{CFFB047C-09E4-42DC-9B12-15300AF400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mune 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740" y="2407336"/>
              <a:ext cx="1823024" cy="5955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75717</xdr:colOff>
      <xdr:row>8</xdr:row>
      <xdr:rowOff>49081</xdr:rowOff>
    </xdr:from>
    <xdr:to>
      <xdr:col>3</xdr:col>
      <xdr:colOff>375151</xdr:colOff>
      <xdr:row>11</xdr:row>
      <xdr:rowOff>47623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istrict Client">
              <a:extLst>
                <a:ext uri="{FF2B5EF4-FFF2-40B4-BE49-F238E27FC236}">
                  <a16:creationId xmlns:a16="http://schemas.microsoft.com/office/drawing/2014/main" id="{22D67BB9-BC4E-449D-B4E9-7EC38C4B3B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rict 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932" y="1743645"/>
              <a:ext cx="1827864" cy="5633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745857</xdr:colOff>
      <xdr:row>25</xdr:row>
      <xdr:rowOff>353347</xdr:rowOff>
    </xdr:from>
    <xdr:to>
      <xdr:col>15</xdr:col>
      <xdr:colOff>2581581</xdr:colOff>
      <xdr:row>28</xdr:row>
      <xdr:rowOff>169109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tat Données">
              <a:extLst>
                <a:ext uri="{FF2B5EF4-FFF2-40B4-BE49-F238E27FC236}">
                  <a16:creationId xmlns:a16="http://schemas.microsoft.com/office/drawing/2014/main" id="{0A6618E0-D5DE-4F6E-93F1-DD81FEA009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 Do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5741" y="5791457"/>
              <a:ext cx="1835724" cy="6575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85254</xdr:colOff>
      <xdr:row>18</xdr:row>
      <xdr:rowOff>189346</xdr:rowOff>
    </xdr:from>
    <xdr:to>
      <xdr:col>3</xdr:col>
      <xdr:colOff>388151</xdr:colOff>
      <xdr:row>22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enre Client">
              <a:extLst>
                <a:ext uri="{FF2B5EF4-FFF2-40B4-BE49-F238E27FC236}">
                  <a16:creationId xmlns:a16="http://schemas.microsoft.com/office/drawing/2014/main" id="{73573E9C-6B6E-4453-8043-B98C6A4791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9469" y="3766759"/>
              <a:ext cx="1831327" cy="6114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749320</xdr:colOff>
      <xdr:row>24</xdr:row>
      <xdr:rowOff>368710</xdr:rowOff>
    </xdr:from>
    <xdr:to>
      <xdr:col>15</xdr:col>
      <xdr:colOff>2585045</xdr:colOff>
      <xdr:row>25</xdr:row>
      <xdr:rowOff>291896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Heure vente">
              <a:extLst>
                <a:ext uri="{FF2B5EF4-FFF2-40B4-BE49-F238E27FC236}">
                  <a16:creationId xmlns:a16="http://schemas.microsoft.com/office/drawing/2014/main" id="{7014DBA4-FE9D-407E-889D-7BA60E4A92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eure v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204" y="5075832"/>
              <a:ext cx="1835725" cy="6541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737421</xdr:colOff>
      <xdr:row>18</xdr:row>
      <xdr:rowOff>153628</xdr:rowOff>
    </xdr:from>
    <xdr:to>
      <xdr:col>15</xdr:col>
      <xdr:colOff>2573146</xdr:colOff>
      <xdr:row>22</xdr:row>
      <xdr:rowOff>33871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Jour vente">
              <a:extLst>
                <a:ext uri="{FF2B5EF4-FFF2-40B4-BE49-F238E27FC236}">
                  <a16:creationId xmlns:a16="http://schemas.microsoft.com/office/drawing/2014/main" id="{4620734D-DC2B-4254-B9B0-982CF67CB6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ur v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7305" y="3731041"/>
              <a:ext cx="1835725" cy="6333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740881</xdr:colOff>
      <xdr:row>11</xdr:row>
      <xdr:rowOff>121873</xdr:rowOff>
    </xdr:from>
    <xdr:to>
      <xdr:col>15</xdr:col>
      <xdr:colOff>2576605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ois vente">
              <a:extLst>
                <a:ext uri="{FF2B5EF4-FFF2-40B4-BE49-F238E27FC236}">
                  <a16:creationId xmlns:a16="http://schemas.microsoft.com/office/drawing/2014/main" id="{593F5C18-FEE0-42A5-9DFF-0DF241AACD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v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0765" y="2381292"/>
              <a:ext cx="1835724" cy="6312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740881</xdr:colOff>
      <xdr:row>22</xdr:row>
      <xdr:rowOff>61452</xdr:rowOff>
    </xdr:from>
    <xdr:to>
      <xdr:col>15</xdr:col>
      <xdr:colOff>2580067</xdr:colOff>
      <xdr:row>24</xdr:row>
      <xdr:rowOff>322621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oment Journée">
              <a:extLst>
                <a:ext uri="{FF2B5EF4-FFF2-40B4-BE49-F238E27FC236}">
                  <a16:creationId xmlns:a16="http://schemas.microsoft.com/office/drawing/2014/main" id="{3B08F8C3-51FD-4E58-958C-19F76F0858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ment Journé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0765" y="4392004"/>
              <a:ext cx="1839186" cy="6377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744343</xdr:colOff>
      <xdr:row>15</xdr:row>
      <xdr:rowOff>27750</xdr:rowOff>
    </xdr:from>
    <xdr:to>
      <xdr:col>15</xdr:col>
      <xdr:colOff>2580067</xdr:colOff>
      <xdr:row>18</xdr:row>
      <xdr:rowOff>107541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Moment Semaine">
              <a:extLst>
                <a:ext uri="{FF2B5EF4-FFF2-40B4-BE49-F238E27FC236}">
                  <a16:creationId xmlns:a16="http://schemas.microsoft.com/office/drawing/2014/main" id="{8A6D74FD-E923-45D2-B9A3-B9C22E2F1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ment 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4227" y="3040308"/>
              <a:ext cx="1835724" cy="6446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87201</xdr:colOff>
      <xdr:row>22</xdr:row>
      <xdr:rowOff>95250</xdr:rowOff>
    </xdr:from>
    <xdr:to>
      <xdr:col>3</xdr:col>
      <xdr:colOff>386635</xdr:colOff>
      <xdr:row>24</xdr:row>
      <xdr:rowOff>345281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Noms Client">
              <a:extLst>
                <a:ext uri="{FF2B5EF4-FFF2-40B4-BE49-F238E27FC236}">
                  <a16:creationId xmlns:a16="http://schemas.microsoft.com/office/drawing/2014/main" id="{859F9FAB-CA91-4414-8B25-78D53A9A87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s 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1416" y="4425802"/>
              <a:ext cx="1827864" cy="626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71838</xdr:colOff>
      <xdr:row>4</xdr:row>
      <xdr:rowOff>76814</xdr:rowOff>
    </xdr:from>
    <xdr:to>
      <xdr:col>3</xdr:col>
      <xdr:colOff>368588</xdr:colOff>
      <xdr:row>7</xdr:row>
      <xdr:rowOff>150933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Noms Vendeur">
              <a:extLst>
                <a:ext uri="{FF2B5EF4-FFF2-40B4-BE49-F238E27FC236}">
                  <a16:creationId xmlns:a16="http://schemas.microsoft.com/office/drawing/2014/main" id="{DAB9BEC5-8472-432F-BF0C-A766A26063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s Vend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6053" y="1018238"/>
              <a:ext cx="1825180" cy="638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90664</xdr:colOff>
      <xdr:row>15</xdr:row>
      <xdr:rowOff>85098</xdr:rowOff>
    </xdr:from>
    <xdr:to>
      <xdr:col>3</xdr:col>
      <xdr:colOff>383952</xdr:colOff>
      <xdr:row>18</xdr:row>
      <xdr:rowOff>117360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rtier Client">
              <a:extLst>
                <a:ext uri="{FF2B5EF4-FFF2-40B4-BE49-F238E27FC236}">
                  <a16:creationId xmlns:a16="http://schemas.microsoft.com/office/drawing/2014/main" id="{57B48BA8-E5DC-42C6-BCE6-F83BC416FF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ier 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2664" y="3119491"/>
              <a:ext cx="1817288" cy="6037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751267</xdr:colOff>
      <xdr:row>8</xdr:row>
      <xdr:rowOff>30725</xdr:rowOff>
    </xdr:from>
    <xdr:to>
      <xdr:col>15</xdr:col>
      <xdr:colOff>2578162</xdr:colOff>
      <xdr:row>11</xdr:row>
      <xdr:rowOff>87533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rimestre vente - Nom">
              <a:extLst>
                <a:ext uri="{FF2B5EF4-FFF2-40B4-BE49-F238E27FC236}">
                  <a16:creationId xmlns:a16="http://schemas.microsoft.com/office/drawing/2014/main" id="{096B4268-63C3-46CD-8332-92C06CF240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 vente - 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71151" y="1725289"/>
              <a:ext cx="1826895" cy="621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4</xdr:col>
      <xdr:colOff>15875</xdr:colOff>
      <xdr:row>9</xdr:row>
      <xdr:rowOff>179267</xdr:rowOff>
    </xdr:from>
    <xdr:to>
      <xdr:col>8</xdr:col>
      <xdr:colOff>256441</xdr:colOff>
      <xdr:row>16</xdr:row>
      <xdr:rowOff>122117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A4DF2D8E-08E0-446D-BAB0-93D4CAD90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278423</xdr:colOff>
      <xdr:row>9</xdr:row>
      <xdr:rowOff>167055</xdr:rowOff>
    </xdr:from>
    <xdr:to>
      <xdr:col>12</xdr:col>
      <xdr:colOff>73269</xdr:colOff>
      <xdr:row>16</xdr:row>
      <xdr:rowOff>122117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CA57AB11-2661-43CE-B062-5AA0073D9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107463</xdr:colOff>
      <xdr:row>9</xdr:row>
      <xdr:rowOff>150813</xdr:rowOff>
    </xdr:from>
    <xdr:to>
      <xdr:col>15</xdr:col>
      <xdr:colOff>683846</xdr:colOff>
      <xdr:row>16</xdr:row>
      <xdr:rowOff>126390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D6FEDD14-E705-4875-804B-E352C0F8FD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21983</xdr:colOff>
      <xdr:row>16</xdr:row>
      <xdr:rowOff>158753</xdr:rowOff>
    </xdr:from>
    <xdr:to>
      <xdr:col>8</xdr:col>
      <xdr:colOff>256442</xdr:colOff>
      <xdr:row>24</xdr:row>
      <xdr:rowOff>183174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C92BEB7E-1E57-4642-A99C-740B850C5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290632</xdr:colOff>
      <xdr:row>16</xdr:row>
      <xdr:rowOff>162719</xdr:rowOff>
    </xdr:from>
    <xdr:to>
      <xdr:col>15</xdr:col>
      <xdr:colOff>671632</xdr:colOff>
      <xdr:row>24</xdr:row>
      <xdr:rowOff>174931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6A933E99-2A7D-4F95-9FF4-3A822F8F2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15875</xdr:colOff>
      <xdr:row>24</xdr:row>
      <xdr:rowOff>219809</xdr:rowOff>
    </xdr:from>
    <xdr:to>
      <xdr:col>8</xdr:col>
      <xdr:colOff>95250</xdr:colOff>
      <xdr:row>28</xdr:row>
      <xdr:rowOff>162657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C3AD5FA1-9A89-417A-BC83-5D1A0D6F9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119672</xdr:colOff>
      <xdr:row>24</xdr:row>
      <xdr:rowOff>219808</xdr:rowOff>
    </xdr:from>
    <xdr:to>
      <xdr:col>12</xdr:col>
      <xdr:colOff>238125</xdr:colOff>
      <xdr:row>28</xdr:row>
      <xdr:rowOff>158750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8F4BFA99-A44C-4A27-82B0-A2FBEA20B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261938</xdr:colOff>
      <xdr:row>24</xdr:row>
      <xdr:rowOff>226220</xdr:rowOff>
    </xdr:from>
    <xdr:to>
      <xdr:col>15</xdr:col>
      <xdr:colOff>682625</xdr:colOff>
      <xdr:row>28</xdr:row>
      <xdr:rowOff>161131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B443EFBA-43DC-4AEB-ACAD-8F8571C92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85726</xdr:colOff>
      <xdr:row>24</xdr:row>
      <xdr:rowOff>394607</xdr:rowOff>
    </xdr:from>
    <xdr:to>
      <xdr:col>3</xdr:col>
      <xdr:colOff>390526</xdr:colOff>
      <xdr:row>25</xdr:row>
      <xdr:rowOff>303440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ategorie Produit">
              <a:extLst>
                <a:ext uri="{FF2B5EF4-FFF2-40B4-BE49-F238E27FC236}">
                  <a16:creationId xmlns:a16="http://schemas.microsoft.com/office/drawing/2014/main" id="{312242FE-7E20-41B3-92F4-AD46E33C48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e Produi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7726" y="5143500"/>
              <a:ext cx="1828800" cy="643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85725</xdr:colOff>
      <xdr:row>25</xdr:row>
      <xdr:rowOff>340177</xdr:rowOff>
    </xdr:from>
    <xdr:to>
      <xdr:col>3</xdr:col>
      <xdr:colOff>390525</xdr:colOff>
      <xdr:row>28</xdr:row>
      <xdr:rowOff>126546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Libellé Produit">
              <a:extLst>
                <a:ext uri="{FF2B5EF4-FFF2-40B4-BE49-F238E27FC236}">
                  <a16:creationId xmlns:a16="http://schemas.microsoft.com/office/drawing/2014/main" id="{15737BAD-82D6-492D-B17F-EF9E22298C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bellé Produi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7725" y="5823856"/>
              <a:ext cx="1828800" cy="6300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E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2777779" createdVersion="5" refreshedVersion="7" minRefreshableVersion="3" recordCount="0" supportSubquery="1" supportAdvancedDrill="1" xr:uid="{953B9409-FF79-4745-88DD-1B8DF9068B93}">
  <cacheSource type="external" connectionId="2"/>
  <cacheFields count="8">
    <cacheField name="[Measures].[Nombre de commande]" caption="Nombre de commande" numFmtId="0" hierarchy="27" level="32767"/>
    <cacheField name="[Measures].[Montant vente]" caption="Montant vente" numFmtId="0" hierarchy="28" level="32767"/>
    <cacheField name="[Measures].[Nombre clients]" caption="Nombre clients" numFmtId="0" hierarchy="29" level="32767"/>
    <cacheField name="[Measures].[Nombre vendeurs]" caption="Nombre vendeurs" numFmtId="0" hierarchy="30" level="32767"/>
    <cacheField name="[Measures].[Moyenne ventes par commande]" caption="Moyenne ventes par commande" numFmtId="0" hierarchy="31" level="32767"/>
    <cacheField name="[Measures].[Moyenne ventes par client]" caption="Moyenne ventes par client" numFmtId="0" hierarchy="32" level="32767"/>
    <cacheField name="[Measures].[Moyenne ventes par vendeur]" caption="Moyenne ventes par vendeur" numFmtId="0" hierarchy="33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7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 oneField="1">
      <fieldsUsage count="1">
        <fieldUsage x="0"/>
      </fieldsUsage>
    </cacheHierarchy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 oneField="1">
      <fieldsUsage count="1">
        <fieldUsage x="2"/>
      </fieldsUsage>
    </cacheHierarchy>
    <cacheHierarchy uniqueName="[Measures].[Nombre vendeurs]" caption="Nombre vendeurs" measure="1" displayFolder="" measureGroup="table_source_donnees  2" count="0" oneField="1">
      <fieldsUsage count="1">
        <fieldUsage x="3"/>
      </fieldsUsage>
    </cacheHierarchy>
    <cacheHierarchy uniqueName="[Measures].[Moyenne ventes par commande]" caption="Moyenne ventes par commande" measure="1" displayFolder="" measureGroup="table_source_donnees  2" count="0" oneField="1">
      <fieldsUsage count="1">
        <fieldUsage x="4"/>
      </fieldsUsage>
    </cacheHierarchy>
    <cacheHierarchy uniqueName="[Measures].[Moyenne ventes par client]" caption="Moyenne ventes par client" measure="1" displayFolder="" measureGroup="table_source_donnees  2" count="0" oneField="1">
      <fieldsUsage count="1">
        <fieldUsage x="5"/>
      </fieldsUsage>
    </cacheHierarchy>
    <cacheHierarchy uniqueName="[Measures].[Moyenne ventes par vendeur]" caption="Moyenne ventes par vendeur" measure="1" displayFolder="" measureGroup="table_source_donnees  2" count="0" oneField="1">
      <fieldsUsage count="1">
        <fieldUsage x="6"/>
      </fieldsUsage>
    </cacheHierarchy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68579629627" createdVersion="3" refreshedVersion="7" minRefreshableVersion="3" recordCount="0" supportSubquery="1" supportAdvancedDrill="1" xr:uid="{5DCD7AF3-992F-47B7-B842-4B65CFF3BC50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/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/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030810091"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3356479" createdVersion="7" refreshedVersion="7" minRefreshableVersion="3" recordCount="0" supportSubquery="1" supportAdvancedDrill="1" xr:uid="{2FF51E0B-9398-40FC-B308-82EC9760460C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_source_donnees  2].[District Client].[District Client]" caption="District Client" numFmtId="0" hierarchy="7" level="1">
      <sharedItems count="4">
        <s v="Funa"/>
        <s v="Lukunga"/>
        <s v="Mont-Amba"/>
        <s v="Tshangu"/>
      </sharedItems>
    </cacheField>
    <cacheField name="[Measures].[Montant vente]" caption="Montant vente" numFmtId="0" hierarchy="28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>
      <fieldsUsage count="2">
        <fieldUsage x="-1"/>
        <fieldUsage x="0"/>
      </fieldsUsage>
    </cacheHierarchy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32342047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3935187" createdVersion="7" refreshedVersion="7" minRefreshableVersion="3" recordCount="0" supportSubquery="1" supportAdvancedDrill="1" xr:uid="{A84856BD-7ABF-4EB9-9218-0DFF40461F0B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_source_donnees  2].[Commune Client].[Commune Client]" caption="Commune Client" numFmtId="0" hierarchy="8" level="1">
      <sharedItems count="10">
        <s v=" Barumbu"/>
        <s v=" Gombe"/>
        <s v=" Kasa-Vubu"/>
        <s v=" Kimbanseke"/>
        <s v=" Kinshasa"/>
        <s v=" Lemba"/>
        <s v=" Limete"/>
        <s v=" Matete"/>
        <s v=" Ngaba"/>
        <s v=" Ngiri-Ngiri"/>
      </sharedItems>
    </cacheField>
    <cacheField name="[Measures].[Montant vente]" caption="Montant vente" numFmtId="0" hierarchy="28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>
      <fieldsUsage count="2">
        <fieldUsage x="-1"/>
        <fieldUsage x="0"/>
      </fieldsUsage>
    </cacheHierarchy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32380924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4513888" createdVersion="7" refreshedVersion="7" minRefreshableVersion="3" recordCount="0" supportSubquery="1" supportAdvancedDrill="1" xr:uid="{4D808469-119E-4376-8565-08BC64097247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_source_donnees  2].[Quartier Client].[Quartier Client]" caption="Quartier Client" numFmtId="0" hierarchy="9" level="1">
      <sharedItems count="11">
        <s v=" Assossa"/>
        <s v=" Commerce"/>
        <s v=" Kingabwa"/>
        <s v=" Kingasani"/>
        <s v=" Luyeye"/>
        <s v=" Mandina"/>
        <s v=" Mikondo"/>
        <s v=" Ndolo"/>
        <s v=" Righini"/>
        <s v=" Saint-Paul"/>
        <s v=" Université"/>
      </sharedItems>
    </cacheField>
    <cacheField name="[Measures].[Montant vente]" caption="Montant vente" numFmtId="0" hierarchy="28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>
      <fieldsUsage count="2">
        <fieldUsage x="-1"/>
        <fieldUsage x="0"/>
      </fieldsUsage>
    </cacheHierarchy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24389430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497685" createdVersion="7" refreshedVersion="7" minRefreshableVersion="3" recordCount="0" supportSubquery="1" supportAdvancedDrill="1" xr:uid="{2A2C4CB5-1E90-41D8-BF84-EA4649BDCD2D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Measures].[Montant vente]" caption="Montant vente" numFmtId="0" hierarchy="28" level="32767"/>
    <cacheField name="[table_source_donnees  2].[Categorie Produit].[Categorie Produit]" caption="Categorie Produit" numFmtId="0" hierarchy="3" level="1">
      <sharedItems count="5">
        <s v="Boisson"/>
        <s v="Cosmétique"/>
        <s v="Cuisine"/>
        <s v="Habillement"/>
        <s v="Mécanique"/>
      </sharedItems>
    </cacheField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>
      <fieldsUsage count="2">
        <fieldUsage x="-1"/>
        <fieldUsage x="1"/>
      </fieldsUsage>
    </cacheHierarchy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0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0593344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5787035" createdVersion="7" refreshedVersion="7" minRefreshableVersion="3" recordCount="0" supportSubquery="1" supportAdvancedDrill="1" xr:uid="{6EF5B5F4-977B-4B81-89E5-1F68FA7EC97A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Measures].[Montant vente]" caption="Montant vente" numFmtId="0" hierarchy="28" level="32767"/>
    <cacheField name="[table_source_donnees  2].[Libellé Produit].[Libellé Produit]" caption="Libellé Produit" numFmtId="0" hierarchy="2" level="1">
      <sharedItems count="13">
        <s v="Basket Air Force"/>
        <s v="Chocolat en boite"/>
        <s v="Crayon Cils"/>
        <s v="Disque Moteur"/>
        <s v="Italy Cuir Boucle"/>
        <s v="Mascara"/>
        <s v="Mayonnaise Grand Format"/>
        <s v="Nkoyi"/>
        <s v="Rouge à lèvres"/>
        <s v="Sel à boules"/>
        <s v="Sel de table"/>
        <s v="Tomate Appolo"/>
        <s v="Vidage 1 litre"/>
      </sharedItems>
    </cacheField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>
      <fieldsUsage count="2">
        <fieldUsage x="-1"/>
        <fieldUsage x="1"/>
      </fieldsUsage>
    </cacheHierarchy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0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243943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6249997" createdVersion="7" refreshedVersion="7" minRefreshableVersion="3" recordCount="0" supportSubquery="1" supportAdvancedDrill="1" xr:uid="{1D9BD9C4-52D2-410C-9C70-6230CDB148B8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_source_donnees  2].[Mois vente].[Mois vente]" caption="Mois vente" numFmtId="0" hierarchy="18" level="1">
      <sharedItems count="2">
        <s v="Août"/>
        <s v="Septembre"/>
      </sharedItems>
    </cacheField>
    <cacheField name="[Measures].[Montant vente]" caption="Montant vente" numFmtId="0" hierarchy="28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>
      <fieldsUsage count="2">
        <fieldUsage x="-1"/>
        <fieldUsage x="0"/>
      </fieldsUsage>
    </cacheHierarchy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697032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6828705" createdVersion="7" refreshedVersion="7" minRefreshableVersion="3" recordCount="0" supportSubquery="1" supportAdvancedDrill="1" xr:uid="{F91A0B76-2213-4127-BA4D-BD4659B0AEDD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_source_donnees  2].[Jour vente].[Jour vente]" caption="Jour vente" numFmtId="0" hierarchy="20" level="1">
      <sharedItems count="3">
        <s v="Dimanche"/>
        <s v="Lundi"/>
        <s v="Mardi"/>
      </sharedItems>
    </cacheField>
    <cacheField name="[Measures].[Montant vente]" caption="Montant vente" numFmtId="0" hierarchy="28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>
      <fieldsUsage count="2">
        <fieldUsage x="-1"/>
        <fieldUsage x="0"/>
      </fieldsUsage>
    </cacheHierarchy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/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3015997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903.370107291666" createdVersion="7" refreshedVersion="7" minRefreshableVersion="3" recordCount="0" supportSubquery="1" supportAdvancedDrill="1" xr:uid="{0B23BC92-2874-4BAC-B663-3F6D58D1C783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_source_donnees  2].[Heure vente].[Heure vente]" caption="Heure vente" numFmtId="0" hierarchy="21" level="1">
      <sharedItems containsSemiMixedTypes="0" containsString="0" containsNumber="1" containsInteger="1" minValue="7" maxValue="23" count="6">
        <n v="7"/>
        <n v="11"/>
        <n v="12"/>
        <n v="13"/>
        <n v="14"/>
        <n v="23"/>
      </sharedItems>
      <extLst>
        <ext xmlns:x15="http://schemas.microsoft.com/office/spreadsheetml/2010/11/main" uri="{4F2E5C28-24EA-4eb8-9CBF-B6C8F9C3D259}">
          <x15:cachedUniqueNames>
            <x15:cachedUniqueName index="0" name="[table_source_donnees  2].[Heure vente].&amp;[7]"/>
            <x15:cachedUniqueName index="1" name="[table_source_donnees  2].[Heure vente].&amp;[11]"/>
            <x15:cachedUniqueName index="2" name="[table_source_donnees  2].[Heure vente].&amp;[12]"/>
            <x15:cachedUniqueName index="3" name="[table_source_donnees  2].[Heure vente].&amp;[13]"/>
            <x15:cachedUniqueName index="4" name="[table_source_donnees  2].[Heure vente].&amp;[14]"/>
            <x15:cachedUniqueName index="5" name="[table_source_donnees  2].[Heure vente].&amp;[23]"/>
          </x15:cachedUniqueNames>
        </ext>
      </extLst>
    </cacheField>
    <cacheField name="[Measures].[Montant vente]" caption="Montant vente" numFmtId="0" hierarchy="28" level="32767"/>
    <cacheField name="[table_source_donnees  2].[Moment Semaine].[Moment Semaine]" caption="Moment Semaine" numFmtId="0" hierarchy="22" level="1">
      <sharedItems containsSemiMixedTypes="0" containsNonDate="0" containsString="0"/>
    </cacheField>
  </cacheFields>
  <cacheHierarchies count="36">
    <cacheHierarchy uniqueName="[table_source_donnees  2].[Index]" caption="Index" attribute="1" defaultMemberUniqueName="[table_source_donnees  2].[Index].[All]" allUniqueName="[table_source_donnees  2].[Index].[All]" dimensionUniqueName="[table_source_donnees  2]" displayFolder="" count="0" memberValueDatatype="20" unbalanced="0"/>
    <cacheHierarchy uniqueName="[table_source_donnees  2].[ID_Commande]" caption="ID_Commande" attribute="1" defaultMemberUniqueName="[table_source_donnees  2].[ID_Commande].[All]" allUniqueName="[table_source_donnees  2].[ID_Commande].[All]" dimensionUniqueName="[table_source_donnees  2]" displayFolder="" count="0" memberValueDatatype="20" unbalanced="0"/>
    <cacheHierarchy uniqueName="[table_source_donnees  2].[Libellé Produit]" caption="Libellé Produit" attribute="1" defaultMemberUniqueName="[table_source_donnees  2].[Libellé Produit].[All]" allUniqueName="[table_source_donnees  2].[Libellé Produit].[All]" dimensionUniqueName="[table_source_donnees  2]" displayFolder="" count="2" memberValueDatatype="130" unbalanced="0"/>
    <cacheHierarchy uniqueName="[table_source_donnees  2].[Categorie Produit]" caption="Categorie Produit" attribute="1" defaultMemberUniqueName="[table_source_donnees  2].[Categorie Produit].[All]" allUniqueName="[table_source_donnees  2].[Categorie Produit].[All]" dimensionUniqueName="[table_source_donnees  2]" displayFolder="" count="2" memberValueDatatype="130" unbalanced="0"/>
    <cacheHierarchy uniqueName="[table_source_donnees  2].[Prix total]" caption="Prix total" attribute="1" defaultMemberUniqueName="[table_source_donnees  2].[Prix total].[All]" allUniqueName="[table_source_donnees  2].[Prix total].[All]" dimensionUniqueName="[table_source_donnees  2]" displayFolder="" count="0" memberValueDatatype="20" unbalanced="0"/>
    <cacheHierarchy uniqueName="[table_source_donnees  2].[Noms Client]" caption="Noms Client" attribute="1" defaultMemberUniqueName="[table_source_donnees  2].[Noms Client].[All]" allUniqueName="[table_source_donnees  2].[Noms Client].[All]" dimensionUniqueName="[table_source_donnees  2]" displayFolder="" count="2" memberValueDatatype="130" unbalanced="0"/>
    <cacheHierarchy uniqueName="[table_source_donnees  2].[Genre Client]" caption="Genre Client" attribute="1" defaultMemberUniqueName="[table_source_donnees  2].[Genre Client].[All]" allUniqueName="[table_source_donnees  2].[Genre Client].[All]" dimensionUniqueName="[table_source_donnees  2]" displayFolder="" count="2" memberValueDatatype="130" unbalanced="0"/>
    <cacheHierarchy uniqueName="[table_source_donnees  2].[District Client]" caption="District Client" attribute="1" defaultMemberUniqueName="[table_source_donnees  2].[District Client].[All]" allUniqueName="[table_source_donnees  2].[District Client].[All]" dimensionUniqueName="[table_source_donnees  2]" displayFolder="" count="2" memberValueDatatype="130" unbalanced="0"/>
    <cacheHierarchy uniqueName="[table_source_donnees  2].[Commune Client]" caption="Commune Client" attribute="1" defaultMemberUniqueName="[table_source_donnees  2].[Commune Client].[All]" allUniqueName="[table_source_donnees  2].[Commune Client].[All]" dimensionUniqueName="[table_source_donnees  2]" displayFolder="" count="2" memberValueDatatype="130" unbalanced="0"/>
    <cacheHierarchy uniqueName="[table_source_donnees  2].[Quartier Client]" caption="Quartier Client" attribute="1" defaultMemberUniqueName="[table_source_donnees  2].[Quartier Client].[All]" allUniqueName="[table_source_donnees  2].[Quartier Client].[All]" dimensionUniqueName="[table_source_donnees  2]" displayFolder="" count="2" memberValueDatatype="130" unbalanced="0"/>
    <cacheHierarchy uniqueName="[table_source_donnees  2].[Noms Vendeur]" caption="Noms Vendeur" attribute="1" defaultMemberUniqueName="[table_source_donnees  2].[Noms Vendeur].[All]" allUniqueName="[table_source_donnees  2].[Noms Vendeur].[All]" dimensionUniqueName="[table_source_donnees  2]" displayFolder="" count="2" memberValueDatatype="130" unbalanced="0"/>
    <cacheHierarchy uniqueName="[table_source_donnees  2].[Genre Vendeur]" caption="Genre Vendeur" attribute="1" defaultMemberUniqueName="[table_source_donnees  2].[Genre Vendeur].[All]" allUniqueName="[table_source_donnees  2].[Genre Vendeur].[All]" dimensionUniqueName="[table_source_donnees  2]" displayFolder="" count="0" memberValueDatatype="130" unbalanced="0"/>
    <cacheHierarchy uniqueName="[table_source_donnees  2].[Poste Vendeur]" caption="Poste Vendeur" attribute="1" defaultMemberUniqueName="[table_source_donnees  2].[Poste Vendeur].[All]" allUniqueName="[table_source_donnees  2].[Poste Vendeur].[All]" dimensionUniqueName="[table_source_donnees  2]" displayFolder="" count="0" memberValueDatatype="130" unbalanced="0"/>
    <cacheHierarchy uniqueName="[table_source_donnees  2].[Etat Données]" caption="Etat Données" attribute="1" defaultMemberUniqueName="[table_source_donnees  2].[Etat Données].[All]" allUniqueName="[table_source_donnees  2].[Etat Données].[All]" dimensionUniqueName="[table_source_donnees  2]" displayFolder="" count="2" memberValueDatatype="130" unbalanced="0"/>
    <cacheHierarchy uniqueName="[table_source_donnees  2].[Année vente]" caption="Année vente" attribute="1" defaultMemberUniqueName="[table_source_donnees  2].[Année vente].[All]" allUniqueName="[table_source_donnees  2].[Année vente].[All]" dimensionUniqueName="[table_source_donnees  2]" displayFolder="" count="2" memberValueDatatype="20" unbalanced="0"/>
    <cacheHierarchy uniqueName="[table_source_donnees  2].[Trimestre vente]" caption="Trimestre vente" attribute="1" defaultMemberUniqueName="[table_source_donnees  2].[Trimestre vente].[All]" allUniqueName="[table_source_donnees  2].[Trimestre vente].[All]" dimensionUniqueName="[table_source_donnees  2]" displayFolder="" count="0" memberValueDatatype="20" unbalanced="0"/>
    <cacheHierarchy uniqueName="[table_source_donnees  2].[Trimestre vente - Nom]" caption="Trimestre vente - Nom" attribute="1" defaultMemberUniqueName="[table_source_donnees  2].[Trimestre vente - Nom].[All]" allUniqueName="[table_source_donnees  2].[Trimestre vente - Nom].[All]" dimensionUniqueName="[table_source_donnees  2]" displayFolder="" count="2" memberValueDatatype="130" unbalanced="0"/>
    <cacheHierarchy uniqueName="[table_source_donnees  2].[Mois vente Num]" caption="Mois vente Num" attribute="1" defaultMemberUniqueName="[table_source_donnees  2].[Mois vente Num].[All]" allUniqueName="[table_source_donnees  2].[Mois vente Num].[All]" dimensionUniqueName="[table_source_donnees  2]" displayFolder="" count="0" memberValueDatatype="20" unbalanced="0"/>
    <cacheHierarchy uniqueName="[table_source_donnees  2].[Mois vente]" caption="Mois vente" attribute="1" defaultMemberUniqueName="[table_source_donnees  2].[Mois vente].[All]" allUniqueName="[table_source_donnees  2].[Mois vente].[All]" dimensionUniqueName="[table_source_donnees  2]" displayFolder="" count="2" memberValueDatatype="130" unbalanced="0"/>
    <cacheHierarchy uniqueName="[table_source_donnees  2].[Jour Vente Num]" caption="Jour Vente Num" attribute="1" defaultMemberUniqueName="[table_source_donnees  2].[Jour Vente Num].[All]" allUniqueName="[table_source_donnees  2].[Jour Vente Num].[All]" dimensionUniqueName="[table_source_donnees  2]" displayFolder="" count="0" memberValueDatatype="20" unbalanced="0"/>
    <cacheHierarchy uniqueName="[table_source_donnees  2].[Jour vente]" caption="Jour vente" attribute="1" defaultMemberUniqueName="[table_source_donnees  2].[Jour vente].[All]" allUniqueName="[table_source_donnees  2].[Jour vente].[All]" dimensionUniqueName="[table_source_donnees  2]" displayFolder="" count="2" memberValueDatatype="130" unbalanced="0"/>
    <cacheHierarchy uniqueName="[table_source_donnees  2].[Heure vente]" caption="Heure vente" attribute="1" defaultMemberUniqueName="[table_source_donnees  2].[Heure vente].[All]" allUniqueName="[table_source_donnees  2].[Heure vente].[All]" dimensionUniqueName="[table_source_donnees  2]" displayFolder="" count="2" memberValueDatatype="20" unbalanced="0">
      <fieldsUsage count="2">
        <fieldUsage x="-1"/>
        <fieldUsage x="0"/>
      </fieldsUsage>
    </cacheHierarchy>
    <cacheHierarchy uniqueName="[table_source_donnees  2].[Moment Semaine]" caption="Moment Semaine" attribute="1" defaultMemberUniqueName="[table_source_donnees  2].[Moment Semaine].[All]" allUniqueName="[table_source_donnees  2].[Moment Semaine].[All]" dimensionUniqueName="[table_source_donnees  2]" displayFolder="" count="2" memberValueDatatype="130" unbalanced="0">
      <fieldsUsage count="2">
        <fieldUsage x="-1"/>
        <fieldUsage x="2"/>
      </fieldsUsage>
    </cacheHierarchy>
    <cacheHierarchy uniqueName="[table_source_donnees  2].[Moment Journée]" caption="Moment Journée" attribute="1" defaultMemberUniqueName="[table_source_donnees  2].[Moment Journée].[All]" allUniqueName="[table_source_donnees  2].[Moment Journée].[All]" dimensionUniqueName="[table_source_donnees  2]" displayFolder="" count="2" memberValueDatatype="130" unbalanced="0"/>
    <cacheHierarchy uniqueName="[table_source_donnees  2].[Moment Semaine Num]" caption="Moment Semaine Num" attribute="1" defaultMemberUniqueName="[table_source_donnees  2].[Moment Semaine Num].[All]" allUniqueName="[table_source_donnees  2].[Moment Semaine Num].[All]" dimensionUniqueName="[table_source_donnees  2]" displayFolder="" count="0" memberValueDatatype="20" unbalanced="0"/>
    <cacheHierarchy uniqueName="[table_source_donnees  2].[Moment Journée - Num]" caption="Moment Journée - Num" attribute="1" defaultMemberUniqueName="[table_source_donnees  2].[Moment Journée - Num].[All]" allUniqueName="[table_source_donnees  2].[Moment Journée - Num].[All]" dimensionUniqueName="[table_source_donnees  2]" displayFolder="" count="0" memberValueDatatype="20" unbalanced="0"/>
    <cacheHierarchy uniqueName="[Measures].[Somme de Heure vente]" caption="Somme de Heure vente" measure="1" displayFolder="" measureGroup="table_source_donnees  2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Nombre de commande]" caption="Nombre de commande" measure="1" displayFolder="" measureGroup="table_source_donnees  2" count="0"/>
    <cacheHierarchy uniqueName="[Measures].[Montant vente]" caption="Montant vente" measure="1" displayFolder="" measureGroup="table_source_donnees  2" count="0" oneField="1">
      <fieldsUsage count="1">
        <fieldUsage x="1"/>
      </fieldsUsage>
    </cacheHierarchy>
    <cacheHierarchy uniqueName="[Measures].[Nombre clients]" caption="Nombre clients" measure="1" displayFolder="" measureGroup="table_source_donnees  2" count="0"/>
    <cacheHierarchy uniqueName="[Measures].[Nombre vendeurs]" caption="Nombre vendeurs" measure="1" displayFolder="" measureGroup="table_source_donnees  2" count="0"/>
    <cacheHierarchy uniqueName="[Measures].[Moyenne ventes par commande]" caption="Moyenne ventes par commande" measure="1" displayFolder="" measureGroup="table_source_donnees  2" count="0"/>
    <cacheHierarchy uniqueName="[Measures].[Moyenne ventes par client]" caption="Moyenne ventes par client" measure="1" displayFolder="" measureGroup="table_source_donnees  2" count="0"/>
    <cacheHierarchy uniqueName="[Measures].[Moyenne ventes par vendeur]" caption="Moyenne ventes par vendeur" measure="1" displayFolder="" measureGroup="table_source_donnees  2" count="0"/>
    <cacheHierarchy uniqueName="[Measures].[__XL_Count table_source_donnees  2]" caption="__XL_Count table_source_donnees  2" measure="1" displayFolder="" measureGroup="table_source_donnees  2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_source_donnees  2" uniqueName="[table_source_donnees  2]" caption="table_source_donnees  2"/>
  </dimensions>
  <measureGroups count="1">
    <measureGroup name="table_source_donnees  2" caption="table_source_donnees  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1309352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16878-DB38-428E-B332-E35A0D05FD99}" name="PivotChartTable9" cacheId="19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8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613093522">
        <x15:pivotRow count="1">
          <x15:c>
            <x15:v>280000</x15:v>
          </x15:c>
        </x15:pivotRow>
        <x15:pivotRow count="1">
          <x15:c>
            <x15:v>161000</x15:v>
          </x15:c>
        </x15:pivotRow>
        <x15:pivotRow count="1">
          <x15:c>
            <x15:v>43000</x15:v>
          </x15:c>
        </x15:pivotRow>
        <x15:pivotRow count="1">
          <x15:c>
            <x15:v>41000</x15:v>
          </x15:c>
        </x15:pivotRow>
        <x15:pivotRow count="1">
          <x15:c>
            <x15:v>487000</x15:v>
          </x15:c>
        </x15:pivotRow>
        <x15:pivotRow count="1">
          <x15:c>
            <x15:v>477000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E9A54-8F6E-415C-A3ED-9FC660454F0E}" name="PivotChartTable8" cacheId="196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5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630159978">
        <x15:pivotRow count="1">
          <x15:c>
            <x15:v>477000</x15:v>
          </x15:c>
        </x15:pivotRow>
        <x15:pivotRow count="1">
          <x15:c>
            <x15:v>732000</x15:v>
          </x15:c>
        </x15:pivotRow>
        <x15:pivotRow count="1">
          <x15:c>
            <x15:v>280000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B6056E-13BE-4E89-84D5-504BF76F2CFB}" name="PivotChartTable7" cacheId="193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4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" columnCount="1" cacheId="1569703206">
        <x15:pivotRow count="1">
          <x15:c>
            <x15:v>477000</x15:v>
          </x15:c>
        </x15:pivotRow>
        <x15:pivotRow count="1">
          <x15:c>
            <x15:v>1012000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F3C1C4-1715-4297-A4C0-13BD057CE17B}" name="PivotChartTable6" cacheId="19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15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llDrilled="1" subtotalTop="0" showAll="0" dataSourceSort="1" defaultSubtotal="0" defaultAttributeDrillState="1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4" columnCount="1" cacheId="1324394386">
        <x15:pivotRow count="1">
          <x15:c>
            <x15:v>50000</x15:v>
          </x15:c>
        </x15:pivotRow>
        <x15:pivotRow count="1">
          <x15:c>
            <x15:v>160000</x15:v>
          </x15:c>
        </x15:pivotRow>
        <x15:pivotRow count="1">
          <x15:c>
            <x15:v>24000</x15:v>
          </x15:c>
        </x15:pivotRow>
        <x15:pivotRow count="1">
          <x15:c>
            <x15:v>200000</x15:v>
          </x15:c>
        </x15:pivotRow>
        <x15:pivotRow count="1">
          <x15:c>
            <x15:v>400000</x15:v>
          </x15:c>
        </x15:pivotRow>
        <x15:pivotRow count="1">
          <x15:c>
            <x15:v>77500</x15:v>
          </x15:c>
        </x15:pivotRow>
        <x15:pivotRow count="1">
          <x15:c>
            <x15:v>280000</x15:v>
          </x15:c>
        </x15:pivotRow>
        <x15:pivotRow count="1">
          <x15:c>
            <x15:v>13500</x15:v>
          </x15:c>
        </x15:pivotRow>
        <x15:pivotRow count="1">
          <x15:c>
            <x15:v>12000</x15:v>
          </x15:c>
        </x15:pivotRow>
        <x15:pivotRow count="1">
          <x15:c>
            <x15:v>160000</x15:v>
          </x15:c>
        </x15:pivotRow>
        <x15:pivotRow count="1">
          <x15:c>
            <x15:v>50000</x15:v>
          </x15:c>
        </x15:pivotRow>
        <x15:pivotRow count="1">
          <x15:c>
            <x15:v>2000</x15:v>
          </x15:c>
        </x15:pivotRow>
        <x15:pivotRow count="1">
          <x15:c>
            <x15:v>60000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A3BF9-7418-44D8-BD01-CCF553BB847F}" name="PivotChartTable5" cacheId="187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7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705933448">
        <x15:pivotRow count="1">
          <x15:c>
            <x15:v>13500</x15:v>
          </x15:c>
        </x15:pivotRow>
        <x15:pivotRow count="1">
          <x15:c>
            <x15:v>113500</x15:v>
          </x15:c>
        </x15:pivotRow>
        <x15:pivotRow count="1">
          <x15:c>
            <x15:v>652000</x15:v>
          </x15:c>
        </x15:pivotRow>
        <x15:pivotRow count="1">
          <x15:c>
            <x15:v>450000</x15:v>
          </x15:c>
        </x15:pivotRow>
        <x15:pivotRow count="1">
          <x15:c>
            <x15:v>260000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9971E5-83FC-483D-BA12-9886FD4370BE}" name="PivotChartTable4" cacheId="184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13" firstHeaderRow="1" firstDataRow="1" firstDataCol="1"/>
  <pivotFields count="3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fld="1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2" columnCount="1" cacheId="243894301">
        <x15:pivotRow count="1">
          <x15:c>
            <x15:v>43000</x15:v>
          </x15:c>
        </x15:pivotRow>
        <x15:pivotRow count="1">
          <x15:c>
            <x15:v>161000</x15:v>
          </x15:c>
        </x15:pivotRow>
        <x15:pivotRow count="1">
          <x15:c>
            <x15:v>27500</x15:v>
          </x15:c>
        </x15:pivotRow>
        <x15:pivotRow count="1">
          <x15:c>
            <x15:v>64000</x15:v>
          </x15:c>
        </x15:pivotRow>
        <x15:pivotRow count="1">
          <x15:c>
            <x15:v>13500</x15:v>
          </x15:c>
        </x15:pivotRow>
        <x15:pivotRow count="1">
          <x15:c>
            <x15:v>62000</x15:v>
          </x15:c>
        </x15:pivotRow>
        <x15:pivotRow count="1">
          <x15:c>
            <x15:v>250000</x15:v>
          </x15:c>
        </x15:pivotRow>
        <x15:pivotRow count="1">
          <x15:c>
            <x15:v>400000</x15:v>
          </x15:c>
        </x15:pivotRow>
        <x15:pivotRow count="1">
          <x15:c>
            <x15:v>163000</x15:v>
          </x15:c>
        </x15:pivotRow>
        <x15:pivotRow count="1">
          <x15:c>
            <x15:v>25000</x15:v>
          </x15:c>
        </x15:pivotRow>
        <x15:pivotRow count="1">
          <x15:c>
            <x15:v>280000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C24296-E1F2-43CD-93F5-9783E57955DF}" name="PivotChartTable3" cacheId="181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12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fld="1" subtotal="count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1" columnCount="1" cacheId="323809240">
        <x15:pivotRow count="1">
          <x15:c>
            <x15:v>400000</x15:v>
          </x15:c>
        </x15:pivotRow>
        <x15:pivotRow count="1">
          <x15:c>
            <x15:v>161000</x15:v>
          </x15:c>
        </x15:pivotRow>
        <x15:pivotRow count="1">
          <x15:c>
            <x15:v>43000</x15:v>
          </x15:c>
        </x15:pivotRow>
        <x15:pivotRow count="1">
          <x15:c>
            <x15:v>314000</x15:v>
          </x15:c>
        </x15:pivotRow>
        <x15:pivotRow count="1">
          <x15:c>
            <x15:v>25000</x15:v>
          </x15:c>
        </x15:pivotRow>
        <x15:pivotRow count="1">
          <x15:c>
            <x15:v>163000</x15:v>
          </x15:c>
        </x15:pivotRow>
        <x15:pivotRow count="1">
          <x15:c>
            <x15:v>27500</x15:v>
          </x15:c>
        </x15:pivotRow>
        <x15:pivotRow count="1">
          <x15:c>
            <x15:v>62000</x15:v>
          </x15:c>
        </x15:pivotRow>
        <x15:pivotRow count="1">
          <x15:c>
            <x15:v>280000</x15:v>
          </x15:c>
        </x15:pivotRow>
        <x15:pivotRow count="1">
          <x15:c>
            <x15:v>13500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D01DD7-0FA9-46B6-ABFB-4D53F4DB2DB5}" name="PivotChartTable2" cacheId="17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1" cacheId="323420474">
        <x15:pivotRow count="1">
          <x15:c>
            <x15:v>56500</x15:v>
          </x15:c>
        </x15:pivotRow>
        <x15:pivotRow count="1">
          <x15:c>
            <x15:v>586000</x15:v>
          </x15:c>
        </x15:pivotRow>
        <x15:pivotRow count="1">
          <x15:c>
            <x15:v>532500</x15:v>
          </x15:c>
        </x15:pivotRow>
        <x15:pivotRow count="1">
          <x15:c>
            <x15:v>314000</x15:v>
          </x15:c>
        </x15:pivotRow>
        <x15:pivotRow count="1">
          <x15:c>
            <x15:v>1489000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E92C0-C011-4B34-B49F-487CE4B6BD0B}" name="TCD okay" cacheId="175" applyNumberFormats="0" applyBorderFormats="0" applyFontFormats="0" applyPatternFormats="0" applyAlignmentFormats="0" applyWidthHeightFormats="1" dataCaption="Valeurs" tag="1c2e3f89-2781-418b-8127-85e4f0235494" updatedVersion="7" minRefreshableVersion="3" useAutoFormatting="1" subtotalHiddenItems="1" itemPrintTitles="1" createdVersion="5" indent="0" outline="1" outlineData="1" multipleFieldFilters="0">
  <location ref="B3:H4" firstHeaderRow="0" firstDataRow="1" firstDataCol="0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36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_source_donnees 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ée_vente" xr10:uid="{51D2A8AD-A17B-4B35-86EF-30F5E77432BE}" sourceName="[table_source_donnees  2].[Année vente]">
  <pivotTables>
    <pivotTable tabId="20" name="TCD okay"/>
  </pivotTables>
  <data>
    <olap pivotCacheId="1030810091">
      <levels count="2">
        <level uniqueName="[table_source_donnees  2].[Année vente].[(All)]" sourceCaption="(All)" count="0"/>
        <level uniqueName="[table_source_donnees  2].[Année vente].[Année vente]" sourceCaption="Année vente" count="1">
          <ranges>
            <range startItem="0">
              <i n="[table_source_donnees  2].[Année vente].&amp;[2025]" c="2025"/>
            </range>
          </ranges>
        </level>
      </levels>
      <selections count="1">
        <selection n="[table_source_donnees  2].[Année v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mmune_Client" xr10:uid="{FF99163D-2DC7-4F16-9745-08B23CB8D334}" sourceName="[table_source_donnees  2].[Commune Client]">
  <pivotTables>
    <pivotTable tabId="20" name="TCD okay"/>
  </pivotTables>
  <data>
    <olap pivotCacheId="1030810091">
      <levels count="2">
        <level uniqueName="[table_source_donnees  2].[Commune Client].[(All)]" sourceCaption="(All)" count="0"/>
        <level uniqueName="[table_source_donnees  2].[Commune Client].[Commune Client]" sourceCaption="Commune Client" count="10">
          <ranges>
            <range startItem="0">
              <i n="[table_source_donnees  2].[Commune Client].&amp;[ Barumbu]" c=" Barumbu"/>
              <i n="[table_source_donnees  2].[Commune Client].&amp;[ Gombe]" c=" Gombe"/>
              <i n="[table_source_donnees  2].[Commune Client].&amp;[ Kasa-Vubu]" c=" Kasa-Vubu"/>
              <i n="[table_source_donnees  2].[Commune Client].&amp;[ Kimbanseke]" c=" Kimbanseke"/>
              <i n="[table_source_donnees  2].[Commune Client].&amp;[ Kinshasa]" c=" Kinshasa"/>
              <i n="[table_source_donnees  2].[Commune Client].&amp;[ Lemba]" c=" Lemba"/>
              <i n="[table_source_donnees  2].[Commune Client].&amp;[ Limete]" c=" Limete"/>
              <i n="[table_source_donnees  2].[Commune Client].&amp;[ Matete]" c=" Matete"/>
              <i n="[table_source_donnees  2].[Commune Client].&amp;[ Ngaba]" c=" Ngaba"/>
              <i n="[table_source_donnees  2].[Commune Client].&amp;[ Ngiri-Ngiri]" c=" Ngiri-Ngiri"/>
            </range>
          </ranges>
        </level>
      </levels>
      <selections count="1">
        <selection n="[table_source_donnees  2].[Commune Clien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istrict_Client" xr10:uid="{241A1705-4BAA-4F4F-A0A7-A1778D051D76}" sourceName="[table_source_donnees  2].[District Client]">
  <pivotTables>
    <pivotTable tabId="20" name="TCD okay"/>
  </pivotTables>
  <data>
    <olap pivotCacheId="1030810091">
      <levels count="2">
        <level uniqueName="[table_source_donnees  2].[District Client].[(All)]" sourceCaption="(All)" count="0"/>
        <level uniqueName="[table_source_donnees  2].[District Client].[District Client]" sourceCaption="District Client" count="4">
          <ranges>
            <range startItem="0">
              <i n="[table_source_donnees  2].[District Client].&amp;[Funa]" c="Funa"/>
              <i n="[table_source_donnees  2].[District Client].&amp;[Lukunga]" c="Lukunga"/>
              <i n="[table_source_donnees  2].[District Client].&amp;[Mont-Amba]" c="Mont-Amba"/>
              <i n="[table_source_donnees  2].[District Client].&amp;[Tshangu]" c="Tshangu"/>
            </range>
          </ranges>
        </level>
      </levels>
      <selections count="1">
        <selection n="[table_source_donnees  2].[District Clien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tat_Données" xr10:uid="{96B720D5-081F-45A4-9A54-98AD512DEC08}" sourceName="[table_source_donnees  2].[Etat Données]">
  <pivotTables>
    <pivotTable tabId="20" name="TCD okay"/>
  </pivotTables>
  <data>
    <olap pivotCacheId="1030810091">
      <levels count="2">
        <level uniqueName="[table_source_donnees  2].[Etat Données].[(All)]" sourceCaption="(All)" count="0"/>
        <level uniqueName="[table_source_donnees  2].[Etat Données].[Etat Données]" sourceCaption="Etat Données" count="1">
          <ranges>
            <range startItem="0">
              <i n="[table_source_donnees  2].[Etat Données].&amp;[Initial]" c="Initial"/>
            </range>
          </ranges>
        </level>
      </levels>
      <selections count="1">
        <selection n="[table_source_donnees  2].[Etat Données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Genre_Client" xr10:uid="{32DBFCFF-6984-415A-B1B4-23511DE12BCD}" sourceName="[table_source_donnees  2].[Genre Client]">
  <pivotTables>
    <pivotTable tabId="20" name="TCD okay"/>
  </pivotTables>
  <data>
    <olap pivotCacheId="1030810091">
      <levels count="2">
        <level uniqueName="[table_source_donnees  2].[Genre Client].[(All)]" sourceCaption="(All)" count="0"/>
        <level uniqueName="[table_source_donnees  2].[Genre Client].[Genre Client]" sourceCaption="Genre Client" count="2">
          <ranges>
            <range startItem="0">
              <i n="[table_source_donnees  2].[Genre Client].&amp;[Féminin]" c="Féminin"/>
              <i n="[table_source_donnees  2].[Genre Client].&amp;[Masculin]" c="Masculin"/>
            </range>
          </ranges>
        </level>
      </levels>
      <selections count="1">
        <selection n="[table_source_donnees  2].[Genre Clien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Heure_vente" xr10:uid="{1A7F5FB2-3C16-49B6-9EAB-2E7A05F4BCA3}" sourceName="[table_source_donnees  2].[Heure vente]">
  <pivotTables>
    <pivotTable tabId="20" name="TCD okay"/>
  </pivotTables>
  <data>
    <olap pivotCacheId="1030810091">
      <levels count="2">
        <level uniqueName="[table_source_donnees  2].[Heure vente].[(All)]" sourceCaption="(All)" count="0"/>
        <level uniqueName="[table_source_donnees  2].[Heure vente].[Heure vente]" sourceCaption="Heure vente" count="6">
          <ranges>
            <range startItem="0">
              <i n="[table_source_donnees  2].[Heure vente].&amp;[7]" c="7"/>
              <i n="[table_source_donnees  2].[Heure vente].&amp;[11]" c="11"/>
              <i n="[table_source_donnees  2].[Heure vente].&amp;[12]" c="12"/>
              <i n="[table_source_donnees  2].[Heure vente].&amp;[13]" c="13"/>
              <i n="[table_source_donnees  2].[Heure vente].&amp;[14]" c="14"/>
              <i n="[table_source_donnees  2].[Heure vente].&amp;[23]" c="23"/>
            </range>
          </ranges>
        </level>
      </levels>
      <selections count="1">
        <selection n="[table_source_donnees  2].[Heure v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Jour_vente" xr10:uid="{FA8235F3-C27F-4F10-B44F-6528F6B544F0}" sourceName="[table_source_donnees  2].[Jour vente]">
  <pivotTables>
    <pivotTable tabId="20" name="TCD okay"/>
  </pivotTables>
  <data>
    <olap pivotCacheId="1030810091">
      <levels count="2">
        <level uniqueName="[table_source_donnees  2].[Jour vente].[(All)]" sourceCaption="(All)" count="0"/>
        <level uniqueName="[table_source_donnees  2].[Jour vente].[Jour vente]" sourceCaption="Jour vente" count="3">
          <ranges>
            <range startItem="0">
              <i n="[table_source_donnees  2].[Jour vente].&amp;[Dimanche]" c="Dimanche"/>
              <i n="[table_source_donnees  2].[Jour vente].&amp;[Lundi]" c="Lundi"/>
              <i n="[table_source_donnees  2].[Jour vente].&amp;[Mardi]" c="Mardi"/>
            </range>
          </ranges>
        </level>
      </levels>
      <selections count="1">
        <selection n="[table_source_donnees  2].[Jour v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_vente" xr10:uid="{C37021D5-C6CA-4263-931A-3ED4BCC2931B}" sourceName="[table_source_donnees  2].[Mois vente]">
  <pivotTables>
    <pivotTable tabId="20" name="TCD okay"/>
  </pivotTables>
  <data>
    <olap pivotCacheId="1030810091">
      <levels count="2">
        <level uniqueName="[table_source_donnees  2].[Mois vente].[(All)]" sourceCaption="(All)" count="0"/>
        <level uniqueName="[table_source_donnees  2].[Mois vente].[Mois vente]" sourceCaption="Mois vente" count="2">
          <ranges>
            <range startItem="0">
              <i n="[table_source_donnees  2].[Mois vente].&amp;[Août]" c="Août"/>
              <i n="[table_source_donnees  2].[Mois vente].&amp;[Septembre]" c="Septembre"/>
            </range>
          </ranges>
        </level>
      </levels>
      <selections count="1">
        <selection n="[table_source_donnees  2].[Mois v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ment_Journée" xr10:uid="{73DA05E2-C5F9-46AE-99B6-0825DCF7E2AB}" sourceName="[table_source_donnees  2].[Moment Journée]">
  <pivotTables>
    <pivotTable tabId="20" name="TCD okay"/>
  </pivotTables>
  <data>
    <olap pivotCacheId="1030810091">
      <levels count="2">
        <level uniqueName="[table_source_donnees  2].[Moment Journée].[(All)]" sourceCaption="(All)" count="0"/>
        <level uniqueName="[table_source_donnees  2].[Moment Journée].[Moment Journée]" sourceCaption="Moment Journée" count="3">
          <ranges>
            <range startItem="0">
              <i n="[table_source_donnees  2].[Moment Journée].&amp;[Après-Midi]" c="Après-Midi"/>
              <i n="[table_source_donnees  2].[Moment Journée].&amp;[Matin]" c="Matin"/>
              <i n="[table_source_donnees  2].[Moment Journée].&amp;[Soir]" c="Soir"/>
            </range>
          </ranges>
        </level>
      </levels>
      <selections count="1">
        <selection n="[table_source_donnees  2].[Moment Journé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ment_Semaine" xr10:uid="{E3B3DF58-8E5F-432C-8CD5-5A4C385743FC}" sourceName="[table_source_donnees  2].[Moment Semaine]">
  <pivotTables>
    <pivotTable tabId="20" name="TCD okay"/>
  </pivotTables>
  <data>
    <olap pivotCacheId="1030810091">
      <levels count="2">
        <level uniqueName="[table_source_donnees  2].[Moment Semaine].[(All)]" sourceCaption="(All)" count="0"/>
        <level uniqueName="[table_source_donnees  2].[Moment Semaine].[Moment Semaine]" sourceCaption="Moment Semaine" count="2">
          <ranges>
            <range startItem="0">
              <i n="[table_source_donnees  2].[Moment Semaine].&amp;[Jour Ouvrable]" c="Jour Ouvrable"/>
              <i n="[table_source_donnees  2].[Moment Semaine].&amp;[Weekend]" c="Weekend"/>
            </range>
          </ranges>
        </level>
      </levels>
      <selections count="1">
        <selection n="[table_source_donnees  2].[Moment Semain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s_Client" xr10:uid="{041D8A2B-DCE3-4FA3-BAE7-D8DA719FA0F5}" sourceName="[table_source_donnees  2].[Noms Client]">
  <pivotTables>
    <pivotTable tabId="20" name="TCD okay"/>
  </pivotTables>
  <data>
    <olap pivotCacheId="1030810091">
      <levels count="2">
        <level uniqueName="[table_source_donnees  2].[Noms Client].[(All)]" sourceCaption="(All)" count="0"/>
        <level uniqueName="[table_source_donnees  2].[Noms Client].[Noms Client]" sourceCaption="Noms Client" count="11">
          <ranges>
            <range startItem="0">
              <i n="[table_source_donnees  2].[Noms Client].&amp;[Bipendu Annita]" c="Bipendu Annita"/>
              <i n="[table_source_donnees  2].[Noms Client].&amp;[Kanku Annita]" c="Kanku Annita"/>
              <i n="[table_source_donnees  2].[Noms Client].&amp;[Mbata David]" c="Mbata David"/>
              <i n="[table_source_donnees  2].[Noms Client].&amp;[Mbuyi Jeanette]" c="Mbuyi Jeanette"/>
              <i n="[table_source_donnees  2].[Noms Client].&amp;[Mputu Claris]" c="Mputu Claris"/>
              <i n="[table_source_donnees  2].[Noms Client].&amp;[Muela Cédric]" c="Muela Cédric"/>
              <i n="[table_source_donnees  2].[Noms Client].&amp;[Mukala Albert]" c="Mukala Albert"/>
              <i n="[table_source_donnees  2].[Noms Client].&amp;[Mukendi Héritier]" c="Mukendi Héritier"/>
              <i n="[table_source_donnees  2].[Noms Client].&amp;[Mupanga Patrick]" c="Mupanga Patrick"/>
              <i n="[table_source_donnees  2].[Noms Client].&amp;[Tshipamba Donnat]" c="Tshipamba Donnat"/>
              <i n="[table_source_donnees  2].[Noms Client].&amp;[Tshituka Martine]" c="Tshituka Martine"/>
            </range>
          </ranges>
        </level>
      </levels>
      <selections count="1">
        <selection n="[table_source_donnees  2].[Noms Clien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s_Vendeur" xr10:uid="{F62940CC-410E-47D5-91D1-4757316293B8}" sourceName="[table_source_donnees  2].[Noms Vendeur]">
  <pivotTables>
    <pivotTable tabId="20" name="TCD okay"/>
  </pivotTables>
  <data>
    <olap pivotCacheId="1030810091">
      <levels count="2">
        <level uniqueName="[table_source_donnees  2].[Noms Vendeur].[(All)]" sourceCaption="(All)" count="0"/>
        <level uniqueName="[table_source_donnees  2].[Noms Vendeur].[Noms Vendeur]" sourceCaption="Noms Vendeur" count="2">
          <ranges>
            <range startItem="0">
              <i n="[table_source_donnees  2].[Noms Vendeur].&amp;[Mutuala Bernard]" c="Mutuala Bernard"/>
              <i n="[table_source_donnees  2].[Noms Vendeur].&amp;[Tshiyoyi Agnès]" c="Tshiyoyi Agnès"/>
            </range>
          </ranges>
        </level>
      </levels>
      <selections count="1">
        <selection n="[table_source_donnees  2].[Noms Vendeur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Quartier_Client" xr10:uid="{E1DBE02B-267B-4475-A138-5665B53F94C4}" sourceName="[table_source_donnees  2].[Quartier Client]">
  <pivotTables>
    <pivotTable tabId="20" name="TCD okay"/>
  </pivotTables>
  <data>
    <olap pivotCacheId="1030810091">
      <levels count="2">
        <level uniqueName="[table_source_donnees  2].[Quartier Client].[(All)]" sourceCaption="(All)" count="0"/>
        <level uniqueName="[table_source_donnees  2].[Quartier Client].[Quartier Client]" sourceCaption="Quartier Client" count="11">
          <ranges>
            <range startItem="0">
              <i n="[table_source_donnees  2].[Quartier Client].&amp;[ Assossa]" c=" Assossa"/>
              <i n="[table_source_donnees  2].[Quartier Client].&amp;[ Commerce]" c=" Commerce"/>
              <i n="[table_source_donnees  2].[Quartier Client].&amp;[ Kingabwa]" c=" Kingabwa"/>
              <i n="[table_source_donnees  2].[Quartier Client].&amp;[ Kingasani]" c=" Kingasani"/>
              <i n="[table_source_donnees  2].[Quartier Client].&amp;[ Luyeye]" c=" Luyeye"/>
              <i n="[table_source_donnees  2].[Quartier Client].&amp;[ Mandina]" c=" Mandina"/>
              <i n="[table_source_donnees  2].[Quartier Client].&amp;[ Mikondo]" c=" Mikondo"/>
              <i n="[table_source_donnees  2].[Quartier Client].&amp;[ Ndolo]" c=" Ndolo"/>
              <i n="[table_source_donnees  2].[Quartier Client].&amp;[ Righini]" c=" Righini"/>
              <i n="[table_source_donnees  2].[Quartier Client].&amp;[ Saint-Paul]" c=" Saint-Paul"/>
              <i n="[table_source_donnees  2].[Quartier Client].&amp;[ Université]" c=" Université"/>
            </range>
          </ranges>
        </level>
      </levels>
      <selections count="1">
        <selection n="[table_source_donnees  2].[Quartier Clien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rimestre_vente___Nom" xr10:uid="{F8EFAC55-5082-497A-AB40-C5059F0DC3FE}" sourceName="[table_source_donnees  2].[Trimestre vente - Nom]">
  <pivotTables>
    <pivotTable tabId="20" name="TCD okay"/>
  </pivotTables>
  <data>
    <olap pivotCacheId="1030810091">
      <levels count="2">
        <level uniqueName="[table_source_donnees  2].[Trimestre vente - Nom].[(All)]" sourceCaption="(All)" count="0"/>
        <level uniqueName="[table_source_donnees  2].[Trimestre vente - Nom].[Trimestre vente - Nom]" sourceCaption="Trimestre vente - Nom" count="1">
          <ranges>
            <range startItem="0">
              <i n="[table_source_donnees  2].[Trimestre vente - Nom].&amp;[Troisième]" c="Troisième"/>
            </range>
          </ranges>
        </level>
      </levels>
      <selections count="1">
        <selection n="[table_source_donnees  2].[Trimestre vente - Nom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3"/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egorie_Produit" xr10:uid="{2836424B-F1F1-489B-91A8-305FBC14C497}" sourceName="[table_source_donnees  2].[Categorie Produit]">
  <pivotTables>
    <pivotTable tabId="20" name="TCD okay"/>
  </pivotTables>
  <data>
    <olap pivotCacheId="1030810091">
      <levels count="2">
        <level uniqueName="[table_source_donnees  2].[Categorie Produit].[(All)]" sourceCaption="(All)" count="0"/>
        <level uniqueName="[table_source_donnees  2].[Categorie Produit].[Categorie Produit]" sourceCaption="Categorie Produit" count="5">
          <ranges>
            <range startItem="0">
              <i n="[table_source_donnees  2].[Categorie Produit].&amp;[Boisson]" c="Boisson"/>
              <i n="[table_source_donnees  2].[Categorie Produit].&amp;[Cosmétique]" c="Cosmétique"/>
              <i n="[table_source_donnees  2].[Categorie Produit].&amp;[Cuisine]" c="Cuisine"/>
              <i n="[table_source_donnees  2].[Categorie Produit].&amp;[Habillement]" c="Habillement"/>
              <i n="[table_source_donnees  2].[Categorie Produit].&amp;[Mécanique]" c="Mécanique"/>
            </range>
          </ranges>
        </level>
      </levels>
      <selections count="1">
        <selection n="[table_source_donnees  2].[Categorie Produi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  <pivotTable tabId="4294967295" name="PivotChartTable3"/>
        <pivotTable tabId="4294967295" name="PivotChartTable2"/>
      </x15:slicerCachePivotTables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Libellé_Produit" xr10:uid="{AF837C93-BDCB-4F50-ABEE-7017007C453C}" sourceName="[table_source_donnees  2].[Libellé Produit]">
  <pivotTables>
    <pivotTable tabId="20" name="TCD okay"/>
  </pivotTables>
  <data>
    <olap pivotCacheId="1030810091">
      <levels count="2">
        <level uniqueName="[table_source_donnees  2].[Libellé Produit].[(All)]" sourceCaption="(All)" count="0"/>
        <level uniqueName="[table_source_donnees  2].[Libellé Produit].[Libellé Produit]" sourceCaption="Libellé Produit" count="13">
          <ranges>
            <range startItem="0">
              <i n="[table_source_donnees  2].[Libellé Produit].&amp;[Basket Air Force]" c="Basket Air Force"/>
              <i n="[table_source_donnees  2].[Libellé Produit].&amp;[Chocolat en boite]" c="Chocolat en boite"/>
              <i n="[table_source_donnees  2].[Libellé Produit].&amp;[Crayon Cils]" c="Crayon Cils"/>
              <i n="[table_source_donnees  2].[Libellé Produit].&amp;[Disque Moteur]" c="Disque Moteur"/>
              <i n="[table_source_donnees  2].[Libellé Produit].&amp;[Italy Cuir Boucle]" c="Italy Cuir Boucle"/>
              <i n="[table_source_donnees  2].[Libellé Produit].&amp;[Mascara]" c="Mascara"/>
              <i n="[table_source_donnees  2].[Libellé Produit].&amp;[Mayonnaise Grand Format]" c="Mayonnaise Grand Format"/>
              <i n="[table_source_donnees  2].[Libellé Produit].&amp;[Nkoyi]" c="Nkoyi"/>
              <i n="[table_source_donnees  2].[Libellé Produit].&amp;[Rouge à lèvres]" c="Rouge à lèvres"/>
              <i n="[table_source_donnees  2].[Libellé Produit].&amp;[Sel à boules]" c="Sel à boules"/>
              <i n="[table_source_donnees  2].[Libellé Produit].&amp;[Sel de table]" c="Sel de table"/>
              <i n="[table_source_donnees  2].[Libellé Produit].&amp;[Tomate Appolo]" c="Tomate Appolo"/>
              <i n="[table_source_donnees  2].[Libellé Produit].&amp;[Vidage 1 litre]" c="Vidage 1 litre"/>
            </range>
          </ranges>
        </level>
      </levels>
      <selections count="1">
        <selection n="[table_source_donnees  2].[Libellé Produi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9"/>
        <pivotTable tabId="4294967295" name="PivotChartTable8"/>
        <pivotTable tabId="4294967295" name="PivotChartTable7"/>
        <pivotTable tabId="4294967295" name="PivotChartTable6"/>
        <pivotTable tabId="4294967295" name="PivotChartTable5"/>
        <pivotTable tabId="4294967295" name="PivotChartTable4"/>
        <pivotTable tabId="4294967295" name="PivotChartTable3"/>
        <pivotTable tabId="4294967295" name="PivotChartTable2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née vente" xr10:uid="{E738FC27-1057-40AC-ACFF-C60FB91BA436}" cache="Segment_Année_vente" caption="Année vente" level="1" style="Style de segment 1" rowHeight="241300"/>
  <slicer name="Commune Client" xr10:uid="{7270A662-92E9-467A-B8A3-FC5200D8FBCC}" cache="Segment_Commune_Client" caption="Commune Client" startItem="5" level="1" style="Style de segment 1" rowHeight="241300"/>
  <slicer name="District Client" xr10:uid="{3C110918-C7E2-419C-ABE3-11DAA795CC5B}" cache="Segment_District_Client" caption="District Client" level="1" style="Style de segment 1" rowHeight="241300"/>
  <slicer name="Etat Données" xr10:uid="{F9B462BE-F7F6-4BE7-BE0B-291F4E84D88A}" cache="Segment_Etat_Données" caption="Etat Données" level="1" style="Style de segment 1" rowHeight="241300"/>
  <slicer name="Genre Client" xr10:uid="{C01E90E9-23A5-4912-9E33-C3895CB73FFA}" cache="Segment_Genre_Client" caption="Genre Client" level="1" style="Style de segment 1" rowHeight="241300"/>
  <slicer name="Heure vente" xr10:uid="{0FEBD25A-C05A-4AAA-A696-82B927E4960C}" cache="Segment_Heure_vente" caption="Heure vente" level="1" style="Style de segment 1" rowHeight="241300"/>
  <slicer name="Jour vente" xr10:uid="{54846E12-75AA-4475-9D95-4110E944316D}" cache="Segment_Jour_vente" caption="Jour vente" level="1" style="Style de segment 1" rowHeight="241300"/>
  <slicer name="Mois vente" xr10:uid="{F0B1FDEB-CF61-436D-A0D5-DA3D566DFCCF}" cache="Segment_Mois_vente" caption="Mois vente" level="1" style="Style de segment 1" rowHeight="241300"/>
  <slicer name="Moment Journée" xr10:uid="{0DBE8D41-868B-4F98-BB99-BD571B9049E8}" cache="Segment_Moment_Journée" caption="Moment Journée" level="1" style="Style de segment 1" rowHeight="241300"/>
  <slicer name="Moment Semaine" xr10:uid="{E1B3A1C2-2567-4F33-9A11-9F765E47E3B3}" cache="Segment_Moment_Semaine" caption="Moment Semaine" level="1" style="Style de segment 1" rowHeight="241300"/>
  <slicer name="Noms Client" xr10:uid="{DF165573-C2CF-4328-989C-411A7A8595FF}" cache="Segment_Noms_Client" caption="Noms Client" startItem="1" level="1" style="Style de segment 1" rowHeight="241300"/>
  <slicer name="Noms Vendeur" xr10:uid="{51E5C377-7380-45FC-876B-0F40CE684176}" cache="Segment_Noms_Vendeur" caption="Noms Vendeur" level="1" style="Style de segment 1" rowHeight="241300"/>
  <slicer name="Quartier Client" xr10:uid="{84C394E8-3DCE-42E3-821C-40FC7E035753}" cache="Segment_Quartier_Client" caption="Quartier Client" level="1" style="Style de segment 1" rowHeight="241300"/>
  <slicer name="Trimestre vente - Nom" xr10:uid="{BFE56552-E418-42BA-A5E1-3869E37BCB18}" cache="Segment_Trimestre_vente___Nom" caption="Trimestre vente - Nom" level="1" style="Style de segment 1" rowHeight="241300"/>
  <slicer name="Categorie Produit" xr10:uid="{9F333ECB-D97C-4AAF-9AB8-601CAAF4BDD6}" cache="Segment_Categorie_Produit" caption="Categorie Produit" level="1" style="Style de segment 1" rowHeight="241300"/>
  <slicer name="Libellé Produit" xr10:uid="{8585DA62-4B2C-4586-8BAA-958D2BFBD938}" cache="Segment_Libellé_Produit" caption="Libellé Produit" level="1" style="Style de segment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02DF0D-033F-483C-952E-C194E1981E4D}" name="table_utilisateurs" displayName="table_utilisateurs" ref="A1:E7" totalsRowShown="0">
  <autoFilter ref="A1:E7" xr:uid="{3202DF0D-033F-483C-952E-C194E1981E4D}"/>
  <tableColumns count="5">
    <tableColumn id="1" xr3:uid="{5383F9A9-0E55-42CF-8595-4DAD32C9B649}" name="ID_User" dataDxfId="106"/>
    <tableColumn id="2" xr3:uid="{85833DCB-44E7-4905-8305-E8C433FE98A7}" name="NomUtilisateur" dataDxfId="105"/>
    <tableColumn id="3" xr3:uid="{9239CABA-BA0E-40EA-948F-954ABA10A3C4}" name="MotDePasse" dataDxfId="104"/>
    <tableColumn id="4" xr3:uid="{56F3E72C-B6A8-4E74-880A-D56E22063BAC}" name="Rôle" dataDxfId="103"/>
    <tableColumn id="5" xr3:uid="{246262CD-2594-40FA-800F-1358C3FEB56C}" name="ID_Vendeur" dataDxfId="10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8F61D0-EC37-40EF-9E94-7994494C7D59}" name="table_categories" displayName="table_categories" ref="A1:C6" totalsRowShown="0" headerRowDxfId="101" dataDxfId="99" headerRowBorderDxfId="100" tableBorderDxfId="98" totalsRowBorderDxfId="97">
  <autoFilter ref="A1:C6" xr:uid="{0C8F61D0-EC37-40EF-9E94-7994494C7D59}"/>
  <tableColumns count="3">
    <tableColumn id="1" xr3:uid="{14BEA289-05F9-48E5-B613-81103BE97076}" name="ID_Categorie_Produit" dataDxfId="96"/>
    <tableColumn id="2" xr3:uid="{466655FA-101C-4222-ACBD-5D95FE4161B7}" name="Nom_Categorie_Produit" dataDxfId="95"/>
    <tableColumn id="3" xr3:uid="{7E39727B-2940-40A4-9DA7-123A4065CDA7}" name="Description_Categorie" dataDxfId="9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BA17C5-27FD-460E-8B1B-EF7F65582B10}" name="table_produits" displayName="table_produits" ref="A1:G20" totalsRowShown="0" headerRowDxfId="93" dataDxfId="91" headerRowBorderDxfId="92" tableBorderDxfId="90" totalsRowBorderDxfId="89">
  <autoFilter ref="A1:G20" xr:uid="{95BA17C5-27FD-460E-8B1B-EF7F65582B10}"/>
  <tableColumns count="7">
    <tableColumn id="1" xr3:uid="{FAE6E319-7161-4F10-9064-246491BF2EE7}" name="ID_Produit" dataDxfId="88"/>
    <tableColumn id="2" xr3:uid="{C0760C3D-BE04-4275-9F6A-64231B390F3C}" name="Libellé_Produit" dataDxfId="87"/>
    <tableColumn id="3" xr3:uid="{F0DD3003-4629-4155-9FA3-2962007AA0C8}" name="Description_Produit" dataDxfId="86"/>
    <tableColumn id="4" xr3:uid="{21C2B8DF-8EF6-4335-9033-35D2414D7A32}" name="Prix_Unitaire_Produit" dataDxfId="85"/>
    <tableColumn id="5" xr3:uid="{6C35B793-8184-43F2-9054-2338E5F7AA07}" name="Quantité_Stockée" dataDxfId="84"/>
    <tableColumn id="6" xr3:uid="{92F82AE6-7F01-4487-A2A6-511F4A2D6150}" name="ID_Categorie_Produit" dataDxfId="83"/>
    <tableColumn id="7" xr3:uid="{48FDF66D-9295-4D70-BCFD-940A956C1D3F}" name="Image_Produit" dataDxfId="8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695499F-9C3B-4333-832D-FF7B04F7D473}" name="table_vendeurs" displayName="table_vendeurs" ref="A1:H5" totalsRowShown="0" headerRowDxfId="81" dataDxfId="79" headerRowBorderDxfId="80" tableBorderDxfId="78" totalsRowBorderDxfId="77">
  <autoFilter ref="A1:H5" xr:uid="{6695499F-9C3B-4333-832D-FF7B04F7D473}"/>
  <tableColumns count="8">
    <tableColumn id="1" xr3:uid="{E62EA36C-630D-4B6E-8280-BB07D3E26284}" name="ID_Vendeur" dataDxfId="76"/>
    <tableColumn id="2" xr3:uid="{40588F50-64F7-4DCE-BD82-D71417A950C3}" name="Nom_Vendeur" dataDxfId="75"/>
    <tableColumn id="3" xr3:uid="{E7047656-DF05-4C63-B765-C73E253BC704}" name="Prenom_Vendeur" dataDxfId="74"/>
    <tableColumn id="8" xr3:uid="{7263D456-D9BF-4AB9-8167-917DF9F9CA01}" name="Genre_Vendeur" dataDxfId="73"/>
    <tableColumn id="4" xr3:uid="{328A4BD4-DF8E-4B6D-B34F-8C67E07C68C0}" name="Email_Vendeur" dataDxfId="72"/>
    <tableColumn id="5" xr3:uid="{55B2AFBD-7802-4D31-BB8D-76A9604B2F88}" name="Telephone_Vendeur" dataDxfId="71"/>
    <tableColumn id="6" xr3:uid="{2F0AA3E1-7312-4C14-A267-AEE4E774D1DF}" name="Poste_Vendeur" dataDxfId="70"/>
    <tableColumn id="7" xr3:uid="{72A186A7-3368-453B-8EFB-0EEE13C5D4E2}" name="Image_Vendeur" dataDxfId="6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10D638-160D-41C8-A2B9-EFD415C3C003}" name="table_clients" displayName="table_clients" ref="A1:G18" totalsRowShown="0" dataDxfId="68">
  <autoFilter ref="A1:G18" xr:uid="{0010D638-160D-41C8-A2B9-EFD415C3C003}"/>
  <tableColumns count="7">
    <tableColumn id="1" xr3:uid="{C0CAAE6B-63C7-40F0-8A17-BB0F955A0D3F}" name="ID_Client" dataDxfId="67"/>
    <tableColumn id="2" xr3:uid="{E6CFD627-2DC3-4DCD-8321-51D0F3AAEB6D}" name="Nom_Client" dataDxfId="66"/>
    <tableColumn id="3" xr3:uid="{16E9C41F-08BF-4308-8D5D-16678B2C8F3F}" name="Prenom_Client" dataDxfId="65"/>
    <tableColumn id="4" xr3:uid="{36AF7827-9A93-4586-9EA9-B4CCE03EC182}" name="Genre_Client" dataDxfId="64"/>
    <tableColumn id="5" xr3:uid="{C3B6FE12-16D4-489D-A702-36C3A67BCD68}" name="Email_Client" dataDxfId="63"/>
    <tableColumn id="6" xr3:uid="{8AB144C1-2484-4254-B686-EB0EAF61C10E}" name="Telephone_Client" dataDxfId="62"/>
    <tableColumn id="7" xr3:uid="{C6BDC9BD-D276-47B0-A0BE-6C50AADF1EB4}" name="Adresse_Client" dataDxfId="61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202CA9-E437-4090-B693-B4E6A9EDAA70}" name="table_commandes" displayName="table_commandes" ref="A1:E21" totalsRowShown="0" headerRowDxfId="60" dataDxfId="58" headerRowBorderDxfId="59" tableBorderDxfId="57" totalsRowBorderDxfId="56">
  <autoFilter ref="A1:E21" xr:uid="{0C202CA9-E437-4090-B693-B4E6A9EDAA70}"/>
  <tableColumns count="5">
    <tableColumn id="1" xr3:uid="{98CC8130-71EC-4E97-8872-0D28F54CFA2E}" name="ID_Commande" dataDxfId="55"/>
    <tableColumn id="2" xr3:uid="{1FFC33B0-B75A-438B-91A6-44F4C9F55036}" name="Date_Commande" dataDxfId="54"/>
    <tableColumn id="3" xr3:uid="{D81F1C5D-BBFE-435F-A5EF-4E203649BA01}" name="ID_Client" dataDxfId="53"/>
    <tableColumn id="4" xr3:uid="{54CBC009-AB81-4B01-995E-EB0ACCAE9F38}" name="ID_Vendeur" dataDxfId="52"/>
    <tableColumn id="5" xr3:uid="{FEA6E1F5-F48B-4D05-BCA4-A2ED56C1B793}" name="Statut_Commande" dataDxfId="5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EADC5-AE03-474F-BD43-8C53E38E559A}" name="table_ligne_commandes" displayName="table_ligne_commandes" ref="A1:F46" totalsRowShown="0" dataDxfId="50">
  <autoFilter ref="A1:F46" xr:uid="{041EADC5-AE03-474F-BD43-8C53E38E559A}"/>
  <tableColumns count="6">
    <tableColumn id="1" xr3:uid="{2C403F77-8593-4A2F-B847-1A933B245D6D}" name="ID_Ligne_Commande" dataDxfId="49"/>
    <tableColumn id="2" xr3:uid="{4116E63F-7C1C-4E43-BD1D-E642F3AA34DE}" name="ID_Commande" dataDxfId="48"/>
    <tableColumn id="3" xr3:uid="{B167A94A-72F6-447C-B4E4-B81631611B5B}" name="ID_Produit" dataDxfId="47"/>
    <tableColumn id="4" xr3:uid="{5567953F-1E00-49B0-BBE3-24B2CAC0F352}" name="Quantite_Commande" dataDxfId="46"/>
    <tableColumn id="5" xr3:uid="{2C87F57F-F3AD-4835-8D29-7C3427582E90}" name="Prix_Unitaire" dataDxfId="45"/>
    <tableColumn id="6" xr3:uid="{B5FF01E5-E4A4-46B6-90F2-3B03F05FA653}" name="Total_Ligne" dataDxfId="44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979D1A-C2BE-4DBC-9BA2-90935BB4C257}" name="table_source_donnees" displayName="table_source_donnees" ref="A1:AF55" totalsRowShown="0" headerRowDxfId="43" headerRowBorderDxfId="42" tableBorderDxfId="41" totalsRowBorderDxfId="40">
  <autoFilter ref="A1:AF55" xr:uid="{E4979D1A-C2BE-4DBC-9BA2-90935BB4C257}">
    <filterColumn colId="1">
      <customFilters>
        <customFilter operator="notEqual" val=" "/>
      </customFilters>
    </filterColumn>
  </autoFilter>
  <tableColumns count="32">
    <tableColumn id="1" xr3:uid="{17F3D949-9EFB-40C7-AC9E-8E0B41318205}" name="ID_Ligne_Commande" dataDxfId="39"/>
    <tableColumn id="2" xr3:uid="{3BCD70D9-9507-498B-BCE9-AB155689CDF5}" name="ID_Commande" dataDxfId="38"/>
    <tableColumn id="3" xr3:uid="{F918207D-5FE4-40C0-9663-AA12922E4587}" name="ID_Produit" dataDxfId="37"/>
    <tableColumn id="4" xr3:uid="{C2D98A0A-AB37-4BD1-9618-DC265B661419}" name="Quantite_Commande" dataDxfId="36"/>
    <tableColumn id="5" xr3:uid="{AAA09723-B48C-440C-8019-6E8E92277C0E}" name="Prix_Unitaire" dataDxfId="35"/>
    <tableColumn id="6" xr3:uid="{B94E8377-6540-45F7-93D1-7F2FA8D045CF}" name="Total_Ligne" dataDxfId="34"/>
    <tableColumn id="8" xr3:uid="{DDC7C262-4404-4245-BD3B-133F0F7E6DF8}" name="Date_Commmande" dataDxfId="33"/>
    <tableColumn id="9" xr3:uid="{34CC9408-E344-4DE8-9B72-7F3A2E678DED}" name="ID_Client" dataDxfId="32"/>
    <tableColumn id="10" xr3:uid="{2A97AE32-D548-4E00-A028-48AC55C0A512}" name="ID_Vendeur" dataDxfId="31"/>
    <tableColumn id="11" xr3:uid="{770FA120-2F67-49CE-B846-BE990F1245EB}" name="Statut_Commande" dataDxfId="30"/>
    <tableColumn id="13" xr3:uid="{8D85A1D3-5F16-4B67-8F3C-80EF7F4A7C4C}" name="Libellé_Produit" dataDxfId="29"/>
    <tableColumn id="14" xr3:uid="{4707CE1D-224B-45F1-A4E3-65E8BA1019CB}" name="Description_Produit" dataDxfId="28"/>
    <tableColumn id="15" xr3:uid="{A69D9BA9-CC79-408E-AA7A-8EEBDE9EBDBC}" name="Prix_Unitaire_Produit" dataDxfId="27"/>
    <tableColumn id="16" xr3:uid="{B92D2C6D-68A3-4FEF-9B96-84AFE97FF827}" name="Quantité_Stockée" dataDxfId="26"/>
    <tableColumn id="17" xr3:uid="{FC1682BA-B525-4BFD-B021-385FA5AC45AB}" name="ID_Categorie_Produit" dataDxfId="25"/>
    <tableColumn id="18" xr3:uid="{A41B7EEC-4FE6-4FFF-8F29-5469C4318F66}" name="Image_Produit" dataDxfId="24"/>
    <tableColumn id="20" xr3:uid="{F1757C04-CAA8-49ED-8E9D-3CB2C5DA96E1}" name="Nom_Categorie_Produit" dataDxfId="23"/>
    <tableColumn id="21" xr3:uid="{05B9B382-DECD-4C97-BE1C-F7EAB948640E}" name="Description_Categorie" dataDxfId="22"/>
    <tableColumn id="23" xr3:uid="{D7EBDECB-C9D7-46CB-A585-BA669759645D}" name="Nom_Client" dataDxfId="21"/>
    <tableColumn id="24" xr3:uid="{EE8C67E4-0ED3-485F-B7B1-EA640B4976A7}" name="Prenom_Client" dataDxfId="20"/>
    <tableColumn id="25" xr3:uid="{5F6F4F3B-A621-4FFF-B9FD-0B62FA7F4873}" name="Genre_Client" dataDxfId="19"/>
    <tableColumn id="26" xr3:uid="{C959B416-6213-4E52-86DC-CB5ECDB5964D}" name="Email_Client" dataDxfId="18"/>
    <tableColumn id="27" xr3:uid="{68DD6974-CE60-4058-87C5-6FD73F52884A}" name="Telephone_Client" dataDxfId="17"/>
    <tableColumn id="28" xr3:uid="{2F129E75-DDCF-4976-A26B-2BE516101C84}" name="Adresse_Client" dataDxfId="16"/>
    <tableColumn id="30" xr3:uid="{98708A6B-498B-4467-9184-8B1E883D7A32}" name="Nom_Vendeur" dataDxfId="15"/>
    <tableColumn id="31" xr3:uid="{E1881573-E944-45A3-A976-9A2118D8D48B}" name="Prenom_Vendeur" dataDxfId="14"/>
    <tableColumn id="32" xr3:uid="{879AAE77-FB77-4B81-8D20-CA7D22C26FC6}" name="Genre_Vendeur" dataDxfId="13"/>
    <tableColumn id="33" xr3:uid="{50FD1177-977D-46A0-BC49-88428B71A971}" name="Email_Vendeur" dataDxfId="12"/>
    <tableColumn id="34" xr3:uid="{88D5F56F-0135-4D59-84A6-B3F8FBDBBD0C}" name="Telephone_Vendeur" dataDxfId="11"/>
    <tableColumn id="35" xr3:uid="{480543FE-08F9-4908-B5A1-E202ED7CF987}" name="Poste_Vendeur" dataDxfId="10"/>
    <tableColumn id="36" xr3:uid="{8ED53D0E-FF51-4770-874D-FA31DB551B52}" name="Image_Vendeur" dataDxfId="9"/>
    <tableColumn id="19" xr3:uid="{3D62B615-0CD1-4F41-B854-BEF70115B71A}" name="Etat_Donnees" dataDxfId="8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C797D78-ACDD-4052-BB9A-F1D59B99EE96}" name="table_adresses" displayName="table_adresses" ref="A1:C184" totalsRowShown="0" headerRowDxfId="7" dataDxfId="5" headerRowBorderDxfId="6" tableBorderDxfId="4" totalsRowBorderDxfId="3">
  <autoFilter ref="A1:C184" xr:uid="{CC797D78-ACDD-4052-BB9A-F1D59B99EE96}"/>
  <tableColumns count="3">
    <tableColumn id="1" xr3:uid="{D945002B-258D-4307-B33D-532A723E159B}" name="District" dataDxfId="2"/>
    <tableColumn id="2" xr3:uid="{735E2381-FD24-4DAD-87AF-C4F29D3637BE}" name="Commune" dataDxfId="1"/>
    <tableColumn id="3" xr3:uid="{D6B5E03C-0C97-4C50-8F2D-CDC66C11BF24}" name="Quartier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32EE-9E3A-4D7D-984D-A6645CB023BB}">
  <sheetPr codeName="Feuil10"/>
  <dimension ref="A1"/>
  <sheetViews>
    <sheetView showGridLines="0" showRowColHeaders="0" workbookViewId="0">
      <selection activeCell="E24" sqref="E24"/>
    </sheetView>
  </sheetViews>
  <sheetFormatPr baseColWidth="10" defaultRowHeight="15" x14ac:dyDescent="0.25"/>
  <cols>
    <col min="1" max="16384" width="11.42578125" style="14"/>
  </cols>
  <sheetData/>
  <sheetProtection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3CD93-27F0-453C-92B4-C5009B92E2A5}">
  <sheetPr codeName="Feuil8"/>
  <dimension ref="A1:E7"/>
  <sheetViews>
    <sheetView workbookViewId="0">
      <selection activeCell="D28" sqref="D28"/>
    </sheetView>
  </sheetViews>
  <sheetFormatPr baseColWidth="10" defaultRowHeight="15" x14ac:dyDescent="0.25"/>
  <cols>
    <col min="1" max="1" width="16.140625" style="13" customWidth="1"/>
    <col min="2" max="2" width="19.7109375" customWidth="1"/>
    <col min="3" max="3" width="17.7109375" customWidth="1"/>
    <col min="4" max="4" width="28.7109375" customWidth="1"/>
    <col min="5" max="5" width="24.5703125" customWidth="1"/>
  </cols>
  <sheetData>
    <row r="1" spans="1:5" x14ac:dyDescent="0.25">
      <c r="A1" s="13" t="s">
        <v>41</v>
      </c>
      <c r="B1" t="s">
        <v>42</v>
      </c>
      <c r="C1" t="s">
        <v>43</v>
      </c>
      <c r="D1" t="s">
        <v>44</v>
      </c>
      <c r="E1" s="26" t="s">
        <v>14</v>
      </c>
    </row>
    <row r="2" spans="1:5" x14ac:dyDescent="0.25">
      <c r="A2" s="61">
        <v>1</v>
      </c>
      <c r="B2" s="42" t="s">
        <v>45</v>
      </c>
      <c r="C2" s="42">
        <v>1234</v>
      </c>
      <c r="D2" s="42" t="s">
        <v>31</v>
      </c>
      <c r="E2" s="42" t="s">
        <v>84</v>
      </c>
    </row>
    <row r="3" spans="1:5" x14ac:dyDescent="0.25">
      <c r="A3" s="61">
        <v>2</v>
      </c>
      <c r="B3" s="42" t="s">
        <v>114</v>
      </c>
      <c r="C3" s="42">
        <v>1234</v>
      </c>
      <c r="D3" s="42" t="s">
        <v>31</v>
      </c>
      <c r="E3" s="42" t="s">
        <v>90</v>
      </c>
    </row>
    <row r="4" spans="1:5" x14ac:dyDescent="0.25">
      <c r="A4" s="61">
        <v>3</v>
      </c>
      <c r="B4" s="42" t="s">
        <v>115</v>
      </c>
      <c r="C4" s="42">
        <v>1234</v>
      </c>
      <c r="D4" s="42" t="s">
        <v>31</v>
      </c>
      <c r="E4" s="42" t="s">
        <v>95</v>
      </c>
    </row>
    <row r="5" spans="1:5" x14ac:dyDescent="0.25">
      <c r="A5" s="61">
        <v>4</v>
      </c>
      <c r="B5" s="42" t="s">
        <v>116</v>
      </c>
      <c r="C5" s="42">
        <v>1234</v>
      </c>
      <c r="D5" s="42" t="s">
        <v>40</v>
      </c>
      <c r="E5" s="42"/>
    </row>
    <row r="6" spans="1:5" x14ac:dyDescent="0.25">
      <c r="A6" s="61">
        <v>5</v>
      </c>
      <c r="B6" s="42" t="s">
        <v>46</v>
      </c>
      <c r="C6" s="42">
        <v>12345</v>
      </c>
      <c r="D6" s="42" t="s">
        <v>30</v>
      </c>
      <c r="E6" s="42"/>
    </row>
    <row r="7" spans="1:5" x14ac:dyDescent="0.25">
      <c r="A7" s="61">
        <v>6</v>
      </c>
      <c r="B7" s="42" t="s">
        <v>125</v>
      </c>
      <c r="C7" s="42">
        <v>1234</v>
      </c>
      <c r="D7" s="42" t="s">
        <v>31</v>
      </c>
      <c r="E7" s="42" t="s">
        <v>121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22039-B53D-45AC-9B91-A44E3D830CC5}">
  <sheetPr codeName="Feuil1"/>
  <dimension ref="A1:C6"/>
  <sheetViews>
    <sheetView showGridLines="0" workbookViewId="0">
      <selection activeCell="C23" sqref="C23"/>
    </sheetView>
  </sheetViews>
  <sheetFormatPr baseColWidth="10" defaultRowHeight="15" x14ac:dyDescent="0.25"/>
  <cols>
    <col min="1" max="1" width="30.28515625" style="32" customWidth="1"/>
    <col min="2" max="2" width="32.42578125" style="1" customWidth="1"/>
    <col min="3" max="3" width="78.42578125" style="1" customWidth="1"/>
  </cols>
  <sheetData>
    <row r="1" spans="1:3" ht="15.75" x14ac:dyDescent="0.25">
      <c r="A1" s="30" t="s">
        <v>49</v>
      </c>
      <c r="B1" s="4" t="s">
        <v>5</v>
      </c>
      <c r="C1" s="5" t="s">
        <v>6</v>
      </c>
    </row>
    <row r="2" spans="1:3" ht="15.75" x14ac:dyDescent="0.25">
      <c r="A2" s="31" t="s">
        <v>51</v>
      </c>
      <c r="B2" s="6" t="s">
        <v>52</v>
      </c>
      <c r="C2" s="7" t="s">
        <v>53</v>
      </c>
    </row>
    <row r="3" spans="1:3" ht="15.75" x14ac:dyDescent="0.25">
      <c r="A3" s="31" t="s">
        <v>66</v>
      </c>
      <c r="B3" s="6" t="s">
        <v>67</v>
      </c>
      <c r="C3" s="7" t="s">
        <v>59</v>
      </c>
    </row>
    <row r="4" spans="1:3" ht="15.75" x14ac:dyDescent="0.25">
      <c r="A4" s="31" t="s">
        <v>126</v>
      </c>
      <c r="B4" s="6" t="s">
        <v>127</v>
      </c>
      <c r="C4" s="7" t="s">
        <v>75</v>
      </c>
    </row>
    <row r="5" spans="1:3" ht="15.75" x14ac:dyDescent="0.25">
      <c r="A5" s="31" t="s">
        <v>134</v>
      </c>
      <c r="B5" s="6" t="s">
        <v>135</v>
      </c>
      <c r="C5" s="7" t="s">
        <v>75</v>
      </c>
    </row>
    <row r="6" spans="1:3" ht="15.75" x14ac:dyDescent="0.25">
      <c r="A6" s="31" t="s">
        <v>372</v>
      </c>
      <c r="B6" s="6" t="s">
        <v>373</v>
      </c>
      <c r="C6" s="7" t="s">
        <v>75</v>
      </c>
    </row>
  </sheetData>
  <sheetProtection selectLockedCells="1" selectUn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4BEDF-D03F-407C-8E71-24FE3C64894F}">
  <sheetPr codeName="Feuil2"/>
  <dimension ref="A1:G20"/>
  <sheetViews>
    <sheetView showGridLines="0" topLeftCell="B1" workbookViewId="0">
      <selection activeCell="E8" sqref="E8"/>
    </sheetView>
  </sheetViews>
  <sheetFormatPr baseColWidth="10" defaultRowHeight="15" x14ac:dyDescent="0.25"/>
  <cols>
    <col min="1" max="1" width="16" style="13" customWidth="1"/>
    <col min="2" max="2" width="23.42578125" customWidth="1"/>
    <col min="3" max="3" width="52.7109375" customWidth="1"/>
    <col min="4" max="4" width="26.42578125" customWidth="1"/>
    <col min="5" max="5" width="27.5703125" customWidth="1"/>
    <col min="6" max="6" width="35" customWidth="1"/>
    <col min="7" max="7" width="70.140625" customWidth="1"/>
  </cols>
  <sheetData>
    <row r="1" spans="1:7" ht="15.75" x14ac:dyDescent="0.25">
      <c r="A1" s="28" t="s">
        <v>25</v>
      </c>
      <c r="B1" s="8" t="s">
        <v>4</v>
      </c>
      <c r="C1" s="8" t="s">
        <v>1</v>
      </c>
      <c r="D1" s="8" t="s">
        <v>0</v>
      </c>
      <c r="E1" s="8" t="s">
        <v>2</v>
      </c>
      <c r="F1" s="8" t="s">
        <v>49</v>
      </c>
      <c r="G1" s="9" t="s">
        <v>3</v>
      </c>
    </row>
    <row r="2" spans="1:7" ht="15.75" x14ac:dyDescent="0.25">
      <c r="A2" s="29" t="s">
        <v>54</v>
      </c>
      <c r="B2" s="10" t="s">
        <v>55</v>
      </c>
      <c r="C2" s="10" t="s">
        <v>56</v>
      </c>
      <c r="D2" s="10">
        <v>1000</v>
      </c>
      <c r="E2" s="10">
        <v>125</v>
      </c>
      <c r="F2" s="10" t="s">
        <v>51</v>
      </c>
      <c r="G2" s="11"/>
    </row>
    <row r="3" spans="1:7" ht="15.75" x14ac:dyDescent="0.25">
      <c r="A3" s="29" t="s">
        <v>57</v>
      </c>
      <c r="B3" s="10" t="s">
        <v>58</v>
      </c>
      <c r="C3" s="10" t="s">
        <v>59</v>
      </c>
      <c r="D3" s="10">
        <v>1500</v>
      </c>
      <c r="E3" s="10">
        <v>148</v>
      </c>
      <c r="F3" s="10" t="s">
        <v>51</v>
      </c>
      <c r="G3" s="11"/>
    </row>
    <row r="4" spans="1:7" ht="15.75" x14ac:dyDescent="0.25">
      <c r="A4" s="29" t="s">
        <v>60</v>
      </c>
      <c r="B4" s="10" t="s">
        <v>61</v>
      </c>
      <c r="C4" s="10" t="s">
        <v>59</v>
      </c>
      <c r="D4" s="10">
        <v>5000</v>
      </c>
      <c r="E4" s="10">
        <v>80</v>
      </c>
      <c r="F4" s="10" t="s">
        <v>51</v>
      </c>
      <c r="G4" s="11"/>
    </row>
    <row r="5" spans="1:7" ht="15.75" x14ac:dyDescent="0.25">
      <c r="A5" s="29" t="s">
        <v>62</v>
      </c>
      <c r="B5" s="10" t="s">
        <v>63</v>
      </c>
      <c r="C5" s="10" t="s">
        <v>59</v>
      </c>
      <c r="D5" s="10">
        <v>4000</v>
      </c>
      <c r="E5" s="10">
        <v>123</v>
      </c>
      <c r="F5" s="10" t="s">
        <v>51</v>
      </c>
      <c r="G5" s="11"/>
    </row>
    <row r="6" spans="1:7" ht="15.75" x14ac:dyDescent="0.25">
      <c r="A6" s="29" t="s">
        <v>64</v>
      </c>
      <c r="B6" s="10" t="s">
        <v>65</v>
      </c>
      <c r="C6" s="10" t="s">
        <v>59</v>
      </c>
      <c r="D6" s="10">
        <v>2500</v>
      </c>
      <c r="E6" s="10">
        <v>16</v>
      </c>
      <c r="F6" s="10" t="s">
        <v>51</v>
      </c>
      <c r="G6" s="11"/>
    </row>
    <row r="7" spans="1:7" ht="15.75" x14ac:dyDescent="0.25">
      <c r="A7" s="29" t="s">
        <v>68</v>
      </c>
      <c r="B7" s="10" t="s">
        <v>69</v>
      </c>
      <c r="C7" s="10" t="s">
        <v>70</v>
      </c>
      <c r="D7" s="10">
        <v>50000</v>
      </c>
      <c r="E7" s="10">
        <v>8</v>
      </c>
      <c r="F7" s="10" t="s">
        <v>66</v>
      </c>
      <c r="G7" s="11"/>
    </row>
    <row r="8" spans="1:7" ht="15.75" x14ac:dyDescent="0.25">
      <c r="A8" s="29" t="s">
        <v>71</v>
      </c>
      <c r="B8" s="10" t="s">
        <v>72</v>
      </c>
      <c r="C8" s="10" t="s">
        <v>70</v>
      </c>
      <c r="D8" s="10">
        <v>40000</v>
      </c>
      <c r="E8" s="10">
        <v>19</v>
      </c>
      <c r="F8" s="10" t="s">
        <v>66</v>
      </c>
      <c r="G8" s="11"/>
    </row>
    <row r="9" spans="1:7" ht="15.75" x14ac:dyDescent="0.25">
      <c r="A9" s="29" t="s">
        <v>68</v>
      </c>
      <c r="B9" s="10" t="s">
        <v>69</v>
      </c>
      <c r="C9" s="10" t="s">
        <v>70</v>
      </c>
      <c r="D9" s="10">
        <v>10000</v>
      </c>
      <c r="E9" s="10">
        <v>60</v>
      </c>
      <c r="F9" s="10" t="s">
        <v>66</v>
      </c>
      <c r="G9" s="11"/>
    </row>
    <row r="10" spans="1:7" ht="15.75" x14ac:dyDescent="0.25">
      <c r="A10" s="29" t="s">
        <v>73</v>
      </c>
      <c r="B10" s="10" t="s">
        <v>74</v>
      </c>
      <c r="C10" s="10" t="s">
        <v>75</v>
      </c>
      <c r="D10" s="10">
        <v>500</v>
      </c>
      <c r="E10" s="10">
        <v>289</v>
      </c>
      <c r="F10" s="10" t="s">
        <v>66</v>
      </c>
      <c r="G10" s="11"/>
    </row>
    <row r="11" spans="1:7" ht="15.75" x14ac:dyDescent="0.25">
      <c r="A11" s="29" t="s">
        <v>76</v>
      </c>
      <c r="B11" s="10" t="s">
        <v>77</v>
      </c>
      <c r="C11" s="10" t="s">
        <v>75</v>
      </c>
      <c r="D11" s="10">
        <v>450</v>
      </c>
      <c r="E11" s="10">
        <v>286</v>
      </c>
      <c r="F11" s="10" t="s">
        <v>66</v>
      </c>
      <c r="G11" s="11"/>
    </row>
    <row r="12" spans="1:7" ht="15.75" x14ac:dyDescent="0.25">
      <c r="A12" s="29" t="s">
        <v>78</v>
      </c>
      <c r="B12" s="10" t="s">
        <v>79</v>
      </c>
      <c r="C12" s="10" t="s">
        <v>75</v>
      </c>
      <c r="D12" s="10">
        <v>7000</v>
      </c>
      <c r="E12" s="10">
        <v>56</v>
      </c>
      <c r="F12" s="10" t="s">
        <v>66</v>
      </c>
      <c r="G12" s="11"/>
    </row>
    <row r="13" spans="1:7" ht="15.75" x14ac:dyDescent="0.25">
      <c r="A13" s="29" t="s">
        <v>80</v>
      </c>
      <c r="B13" s="10" t="s">
        <v>81</v>
      </c>
      <c r="C13" s="10" t="s">
        <v>75</v>
      </c>
      <c r="D13" s="10">
        <v>4000</v>
      </c>
      <c r="E13" s="10">
        <v>200</v>
      </c>
      <c r="F13" s="10" t="s">
        <v>66</v>
      </c>
      <c r="G13" s="11"/>
    </row>
    <row r="14" spans="1:7" ht="15.75" x14ac:dyDescent="0.25">
      <c r="A14" s="29" t="s">
        <v>82</v>
      </c>
      <c r="B14" s="10" t="s">
        <v>83</v>
      </c>
      <c r="C14" s="10" t="s">
        <v>75</v>
      </c>
      <c r="D14" s="10">
        <v>8000</v>
      </c>
      <c r="E14" s="10">
        <v>18</v>
      </c>
      <c r="F14" s="10" t="s">
        <v>66</v>
      </c>
      <c r="G14" s="11"/>
    </row>
    <row r="15" spans="1:7" ht="15.75" x14ac:dyDescent="0.25">
      <c r="A15" s="29" t="s">
        <v>128</v>
      </c>
      <c r="B15" s="10" t="s">
        <v>129</v>
      </c>
      <c r="C15" s="10" t="s">
        <v>75</v>
      </c>
      <c r="D15" s="10">
        <v>5000</v>
      </c>
      <c r="E15" s="10">
        <v>86</v>
      </c>
      <c r="F15" s="10" t="s">
        <v>126</v>
      </c>
      <c r="G15" s="11"/>
    </row>
    <row r="16" spans="1:7" ht="15.75" x14ac:dyDescent="0.25">
      <c r="A16" s="29" t="s">
        <v>130</v>
      </c>
      <c r="B16" s="10" t="s">
        <v>131</v>
      </c>
      <c r="C16" s="10" t="s">
        <v>75</v>
      </c>
      <c r="D16" s="10">
        <v>20000</v>
      </c>
      <c r="E16" s="10">
        <v>45</v>
      </c>
      <c r="F16" s="10" t="s">
        <v>126</v>
      </c>
      <c r="G16" s="11"/>
    </row>
    <row r="17" spans="1:7" ht="15.75" x14ac:dyDescent="0.25">
      <c r="A17" s="29" t="s">
        <v>132</v>
      </c>
      <c r="B17" s="10" t="s">
        <v>133</v>
      </c>
      <c r="C17" s="10" t="s">
        <v>75</v>
      </c>
      <c r="D17" s="10">
        <v>50000</v>
      </c>
      <c r="E17" s="10">
        <v>9</v>
      </c>
      <c r="F17" s="10" t="s">
        <v>126</v>
      </c>
      <c r="G17" s="11"/>
    </row>
    <row r="18" spans="1:7" ht="15.75" x14ac:dyDescent="0.25">
      <c r="A18" s="29" t="s">
        <v>136</v>
      </c>
      <c r="B18" s="10" t="s">
        <v>137</v>
      </c>
      <c r="C18" s="10" t="s">
        <v>75</v>
      </c>
      <c r="D18" s="10">
        <v>50000</v>
      </c>
      <c r="E18" s="10">
        <v>33</v>
      </c>
      <c r="F18" s="10" t="s">
        <v>134</v>
      </c>
      <c r="G18" s="11"/>
    </row>
    <row r="19" spans="1:7" ht="15.75" x14ac:dyDescent="0.25">
      <c r="A19" s="29" t="s">
        <v>138</v>
      </c>
      <c r="B19" s="10" t="s">
        <v>139</v>
      </c>
      <c r="C19" s="10" t="s">
        <v>75</v>
      </c>
      <c r="D19" s="10">
        <v>200000</v>
      </c>
      <c r="E19" s="10">
        <v>11</v>
      </c>
      <c r="F19" s="10" t="s">
        <v>134</v>
      </c>
      <c r="G19" s="11"/>
    </row>
    <row r="20" spans="1:7" ht="15.75" x14ac:dyDescent="0.25">
      <c r="A20" s="29" t="s">
        <v>374</v>
      </c>
      <c r="B20" s="10" t="s">
        <v>375</v>
      </c>
      <c r="C20" s="10" t="s">
        <v>75</v>
      </c>
      <c r="D20" s="10">
        <v>4500</v>
      </c>
      <c r="E20" s="10">
        <v>117</v>
      </c>
      <c r="F20" s="10" t="s">
        <v>372</v>
      </c>
      <c r="G20" s="1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676FF-DF7F-4E64-8450-1772C8A38ED0}">
  <sheetPr codeName="Feuil4"/>
  <dimension ref="A1:H5"/>
  <sheetViews>
    <sheetView showGridLines="0" topLeftCell="O1" workbookViewId="0">
      <selection activeCell="A2" sqref="A2:A5"/>
    </sheetView>
  </sheetViews>
  <sheetFormatPr baseColWidth="10" defaultRowHeight="15" x14ac:dyDescent="0.25"/>
  <cols>
    <col min="1" max="1" width="16.85546875" style="13" customWidth="1"/>
    <col min="2" max="2" width="19.140625" customWidth="1"/>
    <col min="3" max="4" width="20.5703125" customWidth="1"/>
    <col min="5" max="5" width="41.140625" customWidth="1"/>
    <col min="6" max="6" width="30.140625" customWidth="1"/>
    <col min="7" max="7" width="34.7109375" customWidth="1"/>
    <col min="8" max="8" width="58.42578125" customWidth="1"/>
  </cols>
  <sheetData>
    <row r="1" spans="1:8" x14ac:dyDescent="0.25">
      <c r="A1" s="26" t="s">
        <v>14</v>
      </c>
      <c r="B1" s="2" t="s">
        <v>15</v>
      </c>
      <c r="C1" s="2" t="s">
        <v>16</v>
      </c>
      <c r="D1" s="2" t="s">
        <v>29</v>
      </c>
      <c r="E1" s="2" t="s">
        <v>17</v>
      </c>
      <c r="F1" s="2" t="s">
        <v>18</v>
      </c>
      <c r="G1" s="2" t="s">
        <v>19</v>
      </c>
      <c r="H1" s="3" t="s">
        <v>20</v>
      </c>
    </row>
    <row r="2" spans="1:8" ht="15.75" x14ac:dyDescent="0.25">
      <c r="A2" s="27" t="s">
        <v>84</v>
      </c>
      <c r="B2" s="10" t="s">
        <v>85</v>
      </c>
      <c r="C2" s="10" t="s">
        <v>86</v>
      </c>
      <c r="D2" s="10" t="s">
        <v>87</v>
      </c>
      <c r="E2" s="10" t="s">
        <v>88</v>
      </c>
      <c r="F2" s="10">
        <v>928928292</v>
      </c>
      <c r="G2" s="10" t="s">
        <v>31</v>
      </c>
      <c r="H2" s="10"/>
    </row>
    <row r="3" spans="1:8" ht="15.75" x14ac:dyDescent="0.25">
      <c r="A3" s="27" t="s">
        <v>90</v>
      </c>
      <c r="B3" s="10" t="s">
        <v>91</v>
      </c>
      <c r="C3" s="10" t="s">
        <v>92</v>
      </c>
      <c r="D3" s="10" t="s">
        <v>93</v>
      </c>
      <c r="E3" s="10" t="s">
        <v>94</v>
      </c>
      <c r="F3" s="10">
        <v>823673892</v>
      </c>
      <c r="G3" s="10" t="s">
        <v>31</v>
      </c>
      <c r="H3" s="10"/>
    </row>
    <row r="4" spans="1:8" ht="15.75" x14ac:dyDescent="0.25">
      <c r="A4" s="27" t="s">
        <v>95</v>
      </c>
      <c r="B4" s="10" t="s">
        <v>96</v>
      </c>
      <c r="C4" s="10" t="s">
        <v>97</v>
      </c>
      <c r="D4" s="10" t="s">
        <v>93</v>
      </c>
      <c r="E4" s="10" t="s">
        <v>98</v>
      </c>
      <c r="F4" s="10">
        <v>812598453</v>
      </c>
      <c r="G4" s="10" t="s">
        <v>31</v>
      </c>
      <c r="H4" s="10" t="s">
        <v>410</v>
      </c>
    </row>
    <row r="5" spans="1:8" ht="15.75" x14ac:dyDescent="0.25">
      <c r="A5" s="27" t="s">
        <v>121</v>
      </c>
      <c r="B5" s="10" t="s">
        <v>122</v>
      </c>
      <c r="C5" s="10" t="s">
        <v>123</v>
      </c>
      <c r="D5" s="10" t="s">
        <v>87</v>
      </c>
      <c r="E5" s="10" t="s">
        <v>124</v>
      </c>
      <c r="F5" s="10">
        <v>998267382</v>
      </c>
      <c r="G5" s="10" t="s">
        <v>31</v>
      </c>
      <c r="H5" s="1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B278-42D1-42D4-99B9-64942EA8AB8E}">
  <sheetPr codeName="Feuil3"/>
  <dimension ref="A1:G18"/>
  <sheetViews>
    <sheetView showGridLines="0" workbookViewId="0">
      <selection activeCell="C14" sqref="C14"/>
    </sheetView>
  </sheetViews>
  <sheetFormatPr baseColWidth="10" defaultRowHeight="15" x14ac:dyDescent="0.25"/>
  <cols>
    <col min="1" max="1" width="11.42578125" style="13"/>
    <col min="2" max="2" width="13.7109375" customWidth="1"/>
    <col min="3" max="4" width="17" customWidth="1"/>
    <col min="5" max="5" width="30" customWidth="1"/>
    <col min="6" max="6" width="23.28515625" customWidth="1"/>
    <col min="7" max="7" width="47.28515625" customWidth="1"/>
    <col min="8" max="8" width="14.42578125" customWidth="1"/>
  </cols>
  <sheetData>
    <row r="1" spans="1:7" x14ac:dyDescent="0.25">
      <c r="A1" s="13" t="s">
        <v>7</v>
      </c>
      <c r="B1" t="s">
        <v>8</v>
      </c>
      <c r="C1" t="s">
        <v>9</v>
      </c>
      <c r="D1" t="s">
        <v>13</v>
      </c>
      <c r="E1" t="s">
        <v>10</v>
      </c>
      <c r="F1" t="s">
        <v>11</v>
      </c>
      <c r="G1" t="s">
        <v>12</v>
      </c>
    </row>
    <row r="2" spans="1:7" ht="15.75" x14ac:dyDescent="0.25">
      <c r="A2" s="25" t="s">
        <v>99</v>
      </c>
      <c r="B2" s="12" t="s">
        <v>100</v>
      </c>
      <c r="C2" s="12" t="s">
        <v>101</v>
      </c>
      <c r="D2" s="12"/>
      <c r="E2" s="12" t="s">
        <v>75</v>
      </c>
      <c r="F2" s="12">
        <v>983273816</v>
      </c>
      <c r="G2" s="12" t="s">
        <v>352</v>
      </c>
    </row>
    <row r="3" spans="1:7" ht="15.75" x14ac:dyDescent="0.25">
      <c r="A3" s="25" t="s">
        <v>105</v>
      </c>
      <c r="B3" s="12" t="s">
        <v>106</v>
      </c>
      <c r="C3" s="12" t="s">
        <v>107</v>
      </c>
      <c r="D3" s="12"/>
      <c r="E3" s="12" t="s">
        <v>75</v>
      </c>
      <c r="F3" s="12">
        <v>987364782</v>
      </c>
      <c r="G3" s="12" t="s">
        <v>353</v>
      </c>
    </row>
    <row r="4" spans="1:7" ht="15.75" x14ac:dyDescent="0.25">
      <c r="A4" s="25" t="s">
        <v>118</v>
      </c>
      <c r="B4" s="12" t="s">
        <v>140</v>
      </c>
      <c r="C4" s="12" t="s">
        <v>141</v>
      </c>
      <c r="D4" s="12"/>
      <c r="E4" s="12" t="s">
        <v>75</v>
      </c>
      <c r="F4" s="12">
        <v>983746281</v>
      </c>
      <c r="G4" s="12" t="s">
        <v>354</v>
      </c>
    </row>
    <row r="5" spans="1:7" ht="15.75" x14ac:dyDescent="0.25">
      <c r="A5" s="25" t="s">
        <v>143</v>
      </c>
      <c r="B5" s="12" t="s">
        <v>144</v>
      </c>
      <c r="C5" s="12" t="s">
        <v>145</v>
      </c>
      <c r="D5" s="12"/>
      <c r="E5" s="12" t="s">
        <v>75</v>
      </c>
      <c r="F5" s="12">
        <v>839203923</v>
      </c>
      <c r="G5" s="12" t="s">
        <v>355</v>
      </c>
    </row>
    <row r="6" spans="1:7" ht="15.75" x14ac:dyDescent="0.25">
      <c r="A6" s="25" t="s">
        <v>149</v>
      </c>
      <c r="B6" s="12" t="s">
        <v>150</v>
      </c>
      <c r="C6" s="12" t="s">
        <v>151</v>
      </c>
      <c r="D6" s="12"/>
      <c r="E6" s="12" t="s">
        <v>75</v>
      </c>
      <c r="F6" s="12">
        <v>817283928</v>
      </c>
      <c r="G6" s="12" t="s">
        <v>356</v>
      </c>
    </row>
    <row r="7" spans="1:7" ht="15.75" x14ac:dyDescent="0.25">
      <c r="A7" s="25" t="s">
        <v>357</v>
      </c>
      <c r="B7" s="12" t="s">
        <v>358</v>
      </c>
      <c r="C7" s="12" t="s">
        <v>359</v>
      </c>
      <c r="D7" s="12" t="s">
        <v>93</v>
      </c>
      <c r="E7" s="12" t="s">
        <v>75</v>
      </c>
      <c r="F7" s="12">
        <v>987257384</v>
      </c>
      <c r="G7" s="12" t="s">
        <v>360</v>
      </c>
    </row>
    <row r="8" spans="1:7" ht="15.75" x14ac:dyDescent="0.25">
      <c r="A8" s="25" t="s">
        <v>361</v>
      </c>
      <c r="B8" s="12" t="s">
        <v>362</v>
      </c>
      <c r="C8" s="12" t="s">
        <v>363</v>
      </c>
      <c r="D8" s="12" t="s">
        <v>87</v>
      </c>
      <c r="E8" s="12" t="s">
        <v>75</v>
      </c>
      <c r="F8" s="12">
        <v>982738472</v>
      </c>
      <c r="G8" s="12" t="s">
        <v>364</v>
      </c>
    </row>
    <row r="9" spans="1:7" ht="15.75" x14ac:dyDescent="0.25">
      <c r="A9" s="25" t="s">
        <v>365</v>
      </c>
      <c r="B9" s="12" t="s">
        <v>366</v>
      </c>
      <c r="C9" s="12" t="s">
        <v>367</v>
      </c>
      <c r="D9" s="12" t="s">
        <v>87</v>
      </c>
      <c r="E9" s="12" t="s">
        <v>75</v>
      </c>
      <c r="F9" s="12">
        <v>987829384</v>
      </c>
      <c r="G9" s="12" t="s">
        <v>368</v>
      </c>
    </row>
    <row r="10" spans="1:7" ht="15.75" x14ac:dyDescent="0.25">
      <c r="A10" s="25" t="s">
        <v>385</v>
      </c>
      <c r="B10" s="12" t="s">
        <v>383</v>
      </c>
      <c r="C10" s="12" t="s">
        <v>384</v>
      </c>
      <c r="D10" s="12" t="s">
        <v>93</v>
      </c>
      <c r="E10" s="12" t="s">
        <v>75</v>
      </c>
      <c r="F10" s="12">
        <v>987654327</v>
      </c>
      <c r="G10" s="12" t="s">
        <v>356</v>
      </c>
    </row>
    <row r="11" spans="1:7" ht="15.75" x14ac:dyDescent="0.25">
      <c r="A11" s="25" t="s">
        <v>386</v>
      </c>
      <c r="B11" s="12" t="s">
        <v>387</v>
      </c>
      <c r="C11" s="12" t="s">
        <v>388</v>
      </c>
      <c r="D11" s="12" t="s">
        <v>93</v>
      </c>
      <c r="E11" s="12" t="s">
        <v>75</v>
      </c>
      <c r="F11" s="12">
        <v>908748824</v>
      </c>
      <c r="G11" s="12" t="s">
        <v>389</v>
      </c>
    </row>
    <row r="12" spans="1:7" ht="15.75" x14ac:dyDescent="0.25">
      <c r="A12" s="25" t="s">
        <v>390</v>
      </c>
      <c r="B12" s="12" t="s">
        <v>140</v>
      </c>
      <c r="C12" s="12" t="s">
        <v>391</v>
      </c>
      <c r="D12" s="12" t="s">
        <v>93</v>
      </c>
      <c r="E12" s="12" t="s">
        <v>75</v>
      </c>
      <c r="F12" s="12">
        <v>983985784</v>
      </c>
      <c r="G12" s="12" t="s">
        <v>392</v>
      </c>
    </row>
    <row r="13" spans="1:7" ht="15.75" x14ac:dyDescent="0.25">
      <c r="A13" s="25" t="s">
        <v>393</v>
      </c>
      <c r="B13" s="12" t="s">
        <v>394</v>
      </c>
      <c r="C13" s="12" t="s">
        <v>367</v>
      </c>
      <c r="D13" s="12" t="s">
        <v>87</v>
      </c>
      <c r="E13" s="12" t="s">
        <v>75</v>
      </c>
      <c r="F13" s="12">
        <v>8797645786</v>
      </c>
      <c r="G13" s="12" t="s">
        <v>395</v>
      </c>
    </row>
    <row r="14" spans="1:7" ht="15.75" x14ac:dyDescent="0.25">
      <c r="A14" s="25" t="s">
        <v>393</v>
      </c>
      <c r="B14" s="12" t="s">
        <v>396</v>
      </c>
      <c r="C14" s="12" t="s">
        <v>397</v>
      </c>
      <c r="D14" s="12" t="s">
        <v>93</v>
      </c>
      <c r="E14" s="12" t="s">
        <v>75</v>
      </c>
      <c r="F14" s="12">
        <v>987672472</v>
      </c>
      <c r="G14" s="12" t="s">
        <v>355</v>
      </c>
    </row>
    <row r="15" spans="1:7" ht="15.75" x14ac:dyDescent="0.25">
      <c r="A15" s="25" t="s">
        <v>398</v>
      </c>
      <c r="B15" s="12" t="s">
        <v>399</v>
      </c>
      <c r="C15" s="12" t="s">
        <v>400</v>
      </c>
      <c r="D15" s="12" t="s">
        <v>87</v>
      </c>
      <c r="E15" s="12" t="s">
        <v>75</v>
      </c>
      <c r="F15" s="12">
        <v>987654367</v>
      </c>
      <c r="G15" s="12" t="s">
        <v>401</v>
      </c>
    </row>
    <row r="16" spans="1:7" ht="15.75" x14ac:dyDescent="0.25">
      <c r="A16" s="25" t="s">
        <v>402</v>
      </c>
      <c r="B16" s="12" t="s">
        <v>403</v>
      </c>
      <c r="C16" s="12" t="s">
        <v>404</v>
      </c>
      <c r="D16" s="12" t="s">
        <v>93</v>
      </c>
      <c r="E16" s="12" t="s">
        <v>75</v>
      </c>
      <c r="F16" s="12">
        <v>98762843</v>
      </c>
      <c r="G16" s="12" t="s">
        <v>405</v>
      </c>
    </row>
    <row r="17" spans="1:7" ht="15.75" x14ac:dyDescent="0.25">
      <c r="A17" s="25" t="s">
        <v>406</v>
      </c>
      <c r="B17" s="12" t="s">
        <v>407</v>
      </c>
      <c r="C17" s="12" t="s">
        <v>408</v>
      </c>
      <c r="D17" s="12" t="s">
        <v>87</v>
      </c>
      <c r="E17" s="12" t="s">
        <v>75</v>
      </c>
      <c r="F17" s="12">
        <v>98387823</v>
      </c>
      <c r="G17" s="12" t="s">
        <v>409</v>
      </c>
    </row>
    <row r="18" spans="1:7" ht="15.75" x14ac:dyDescent="0.25">
      <c r="A18" s="25" t="s">
        <v>411</v>
      </c>
      <c r="B18" s="12" t="s">
        <v>150</v>
      </c>
      <c r="C18" s="12" t="s">
        <v>412</v>
      </c>
      <c r="D18" s="12" t="s">
        <v>93</v>
      </c>
      <c r="E18" s="12" t="s">
        <v>413</v>
      </c>
      <c r="F18" s="12">
        <v>817263849</v>
      </c>
      <c r="G18" s="12" t="s">
        <v>414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94F02-1073-4385-940C-5ADB0F9A75D8}">
  <sheetPr codeName="Feuil5"/>
  <dimension ref="A1:E21"/>
  <sheetViews>
    <sheetView showGridLines="0" topLeftCell="I1" workbookViewId="0">
      <selection activeCell="G10" sqref="G10"/>
    </sheetView>
  </sheetViews>
  <sheetFormatPr baseColWidth="10" defaultRowHeight="15.75" x14ac:dyDescent="0.25"/>
  <cols>
    <col min="1" max="1" width="16.140625" style="47" customWidth="1"/>
    <col min="2" max="2" width="31.85546875" style="48" customWidth="1"/>
    <col min="3" max="3" width="19.5703125" style="49" customWidth="1"/>
    <col min="4" max="4" width="19.140625" style="49" customWidth="1"/>
    <col min="5" max="5" width="22.28515625" style="49" customWidth="1"/>
    <col min="6" max="16384" width="11.42578125" style="50"/>
  </cols>
  <sheetData>
    <row r="1" spans="1:5" x14ac:dyDescent="0.25">
      <c r="A1" s="51" t="s">
        <v>21</v>
      </c>
      <c r="B1" s="52" t="s">
        <v>50</v>
      </c>
      <c r="C1" s="53" t="s">
        <v>7</v>
      </c>
      <c r="D1" s="53" t="s">
        <v>14</v>
      </c>
      <c r="E1" s="54" t="s">
        <v>23</v>
      </c>
    </row>
    <row r="2" spans="1:5" x14ac:dyDescent="0.25">
      <c r="A2" s="55">
        <v>1</v>
      </c>
      <c r="B2" s="56" t="s">
        <v>103</v>
      </c>
      <c r="C2" s="57" t="s">
        <v>99</v>
      </c>
      <c r="D2" s="57" t="s">
        <v>90</v>
      </c>
      <c r="E2" s="58" t="s">
        <v>104</v>
      </c>
    </row>
    <row r="3" spans="1:5" x14ac:dyDescent="0.25">
      <c r="A3" s="59">
        <v>2</v>
      </c>
      <c r="B3" s="45" t="s">
        <v>109</v>
      </c>
      <c r="C3" s="46" t="s">
        <v>105</v>
      </c>
      <c r="D3" s="46" t="s">
        <v>84</v>
      </c>
      <c r="E3" s="60" t="s">
        <v>104</v>
      </c>
    </row>
    <row r="4" spans="1:5" x14ac:dyDescent="0.25">
      <c r="A4" s="59">
        <v>3</v>
      </c>
      <c r="B4" s="45" t="s">
        <v>117</v>
      </c>
      <c r="C4" s="46" t="s">
        <v>105</v>
      </c>
      <c r="D4" s="46" t="s">
        <v>118</v>
      </c>
      <c r="E4" s="60" t="s">
        <v>104</v>
      </c>
    </row>
    <row r="5" spans="1:5" x14ac:dyDescent="0.25">
      <c r="A5" s="59">
        <v>4</v>
      </c>
      <c r="B5" s="45" t="s">
        <v>119</v>
      </c>
      <c r="C5" s="46" t="s">
        <v>105</v>
      </c>
      <c r="D5" s="46" t="s">
        <v>84</v>
      </c>
      <c r="E5" s="60" t="s">
        <v>104</v>
      </c>
    </row>
    <row r="6" spans="1:5" x14ac:dyDescent="0.25">
      <c r="A6" s="59">
        <v>5</v>
      </c>
      <c r="B6" s="45" t="s">
        <v>147</v>
      </c>
      <c r="C6" s="46" t="s">
        <v>118</v>
      </c>
      <c r="D6" s="46" t="s">
        <v>121</v>
      </c>
      <c r="E6" s="60" t="s">
        <v>104</v>
      </c>
    </row>
    <row r="7" spans="1:5" x14ac:dyDescent="0.25">
      <c r="A7" s="59">
        <v>7</v>
      </c>
      <c r="B7" s="45" t="s">
        <v>148</v>
      </c>
      <c r="C7" s="46" t="s">
        <v>143</v>
      </c>
      <c r="D7" s="46" t="s">
        <v>121</v>
      </c>
      <c r="E7" s="60" t="s">
        <v>104</v>
      </c>
    </row>
    <row r="8" spans="1:5" x14ac:dyDescent="0.25">
      <c r="A8" s="59">
        <v>8</v>
      </c>
      <c r="B8" s="45" t="s">
        <v>153</v>
      </c>
      <c r="C8" s="46" t="s">
        <v>149</v>
      </c>
      <c r="D8" s="46" t="s">
        <v>95</v>
      </c>
      <c r="E8" s="60" t="s">
        <v>104</v>
      </c>
    </row>
    <row r="9" spans="1:5" x14ac:dyDescent="0.25">
      <c r="A9" s="59">
        <v>9</v>
      </c>
      <c r="B9" s="45" t="s">
        <v>154</v>
      </c>
      <c r="C9" s="46" t="s">
        <v>149</v>
      </c>
      <c r="D9" s="46" t="s">
        <v>84</v>
      </c>
      <c r="E9" s="60" t="s">
        <v>104</v>
      </c>
    </row>
    <row r="10" spans="1:5" x14ac:dyDescent="0.25">
      <c r="A10" s="59">
        <v>10</v>
      </c>
      <c r="B10" s="45" t="s">
        <v>369</v>
      </c>
      <c r="C10" s="46" t="s">
        <v>357</v>
      </c>
      <c r="D10" s="46" t="s">
        <v>84</v>
      </c>
      <c r="E10" s="60" t="s">
        <v>104</v>
      </c>
    </row>
    <row r="11" spans="1:5" x14ac:dyDescent="0.25">
      <c r="A11" s="59">
        <v>11</v>
      </c>
      <c r="B11" s="45" t="s">
        <v>370</v>
      </c>
      <c r="C11" s="46" t="s">
        <v>361</v>
      </c>
      <c r="D11" s="46" t="s">
        <v>95</v>
      </c>
      <c r="E11" s="60" t="s">
        <v>104</v>
      </c>
    </row>
    <row r="12" spans="1:5" x14ac:dyDescent="0.25">
      <c r="A12" s="59">
        <v>12</v>
      </c>
      <c r="B12" s="45" t="s">
        <v>371</v>
      </c>
      <c r="C12" s="46" t="s">
        <v>365</v>
      </c>
      <c r="D12" s="46" t="s">
        <v>95</v>
      </c>
      <c r="E12" s="60" t="s">
        <v>104</v>
      </c>
    </row>
    <row r="13" spans="1:5" x14ac:dyDescent="0.25">
      <c r="A13" s="59">
        <v>13</v>
      </c>
      <c r="B13" s="45">
        <v>45901.477754629632</v>
      </c>
      <c r="C13" s="46" t="s">
        <v>385</v>
      </c>
      <c r="D13" s="46" t="s">
        <v>95</v>
      </c>
      <c r="E13" s="60" t="s">
        <v>104</v>
      </c>
    </row>
    <row r="14" spans="1:5" x14ac:dyDescent="0.25">
      <c r="A14" s="59">
        <v>14</v>
      </c>
      <c r="B14" s="45">
        <v>45901.527430555558</v>
      </c>
      <c r="C14" s="46" t="s">
        <v>386</v>
      </c>
      <c r="D14" s="46" t="s">
        <v>95</v>
      </c>
      <c r="E14" s="60" t="s">
        <v>104</v>
      </c>
    </row>
    <row r="15" spans="1:5" x14ac:dyDescent="0.25">
      <c r="A15" s="59">
        <v>15</v>
      </c>
      <c r="B15" s="45">
        <v>45901.536087962966</v>
      </c>
      <c r="C15" s="46" t="s">
        <v>386</v>
      </c>
      <c r="D15" s="46" t="s">
        <v>95</v>
      </c>
      <c r="E15" s="60" t="s">
        <v>104</v>
      </c>
    </row>
    <row r="16" spans="1:5" x14ac:dyDescent="0.25">
      <c r="A16" s="59">
        <v>16</v>
      </c>
      <c r="B16" s="45">
        <v>45901.54828703704</v>
      </c>
      <c r="C16" s="46" t="s">
        <v>390</v>
      </c>
      <c r="D16" s="46" t="s">
        <v>95</v>
      </c>
      <c r="E16" s="60" t="s">
        <v>104</v>
      </c>
    </row>
    <row r="17" spans="1:5" x14ac:dyDescent="0.25">
      <c r="A17" s="59">
        <v>17</v>
      </c>
      <c r="B17" s="77">
        <v>45901.565451388888</v>
      </c>
      <c r="C17" s="46" t="s">
        <v>393</v>
      </c>
      <c r="D17" s="46" t="s">
        <v>95</v>
      </c>
      <c r="E17" s="60" t="s">
        <v>104</v>
      </c>
    </row>
    <row r="18" spans="1:5" x14ac:dyDescent="0.25">
      <c r="A18" s="59">
        <v>18</v>
      </c>
      <c r="B18" s="77">
        <v>45901.589745370373</v>
      </c>
      <c r="C18" s="46" t="s">
        <v>398</v>
      </c>
      <c r="D18" s="46" t="s">
        <v>95</v>
      </c>
      <c r="E18" s="60" t="s">
        <v>104</v>
      </c>
    </row>
    <row r="19" spans="1:5" x14ac:dyDescent="0.25">
      <c r="A19" s="59">
        <v>19</v>
      </c>
      <c r="B19" s="77">
        <v>45901.594976851855</v>
      </c>
      <c r="C19" s="46" t="s">
        <v>402</v>
      </c>
      <c r="D19" s="46" t="s">
        <v>95</v>
      </c>
      <c r="E19" s="60" t="s">
        <v>104</v>
      </c>
    </row>
    <row r="20" spans="1:5" x14ac:dyDescent="0.25">
      <c r="A20" s="59">
        <v>20</v>
      </c>
      <c r="B20" s="77">
        <v>45901.612210648149</v>
      </c>
      <c r="C20" s="46" t="s">
        <v>406</v>
      </c>
      <c r="D20" s="46" t="s">
        <v>95</v>
      </c>
      <c r="E20" s="60" t="s">
        <v>104</v>
      </c>
    </row>
    <row r="21" spans="1:5" x14ac:dyDescent="0.25">
      <c r="A21" s="59">
        <v>21</v>
      </c>
      <c r="B21" s="77">
        <v>45902.29179398148</v>
      </c>
      <c r="C21" s="46" t="s">
        <v>411</v>
      </c>
      <c r="D21" s="46" t="s">
        <v>95</v>
      </c>
      <c r="E21" s="60" t="s">
        <v>104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86DD-4E70-4DE9-BBF7-8557C913E7AE}">
  <sheetPr codeName="Feuil6"/>
  <dimension ref="A1:F46"/>
  <sheetViews>
    <sheetView showGridLines="0" workbookViewId="0">
      <selection activeCell="H9" sqref="H9"/>
    </sheetView>
  </sheetViews>
  <sheetFormatPr baseColWidth="10" defaultRowHeight="15" x14ac:dyDescent="0.25"/>
  <cols>
    <col min="1" max="1" width="26.42578125" style="22" customWidth="1"/>
    <col min="2" max="2" width="18.85546875" style="22" customWidth="1"/>
    <col min="3" max="3" width="15.7109375" style="13" customWidth="1"/>
    <col min="4" max="4" width="25" style="22" customWidth="1"/>
    <col min="5" max="5" width="20.7109375" style="22" customWidth="1"/>
    <col min="6" max="6" width="20.42578125" style="22" customWidth="1"/>
  </cols>
  <sheetData>
    <row r="1" spans="1:6" x14ac:dyDescent="0.25">
      <c r="A1" s="22" t="s">
        <v>24</v>
      </c>
      <c r="B1" s="22" t="s">
        <v>21</v>
      </c>
      <c r="C1" s="13" t="s">
        <v>25</v>
      </c>
      <c r="D1" s="22" t="s">
        <v>26</v>
      </c>
      <c r="E1" s="22" t="s">
        <v>27</v>
      </c>
      <c r="F1" s="22" t="s">
        <v>28</v>
      </c>
    </row>
    <row r="2" spans="1:6" ht="15.75" x14ac:dyDescent="0.25">
      <c r="A2" s="23">
        <v>2</v>
      </c>
      <c r="B2" s="23">
        <v>1</v>
      </c>
      <c r="C2" s="24" t="s">
        <v>60</v>
      </c>
      <c r="D2" s="23">
        <v>10</v>
      </c>
      <c r="E2" s="23">
        <v>5000</v>
      </c>
      <c r="F2" s="23">
        <v>50000</v>
      </c>
    </row>
    <row r="3" spans="1:6" ht="15.75" x14ac:dyDescent="0.25">
      <c r="A3" s="23">
        <v>3</v>
      </c>
      <c r="B3" s="23">
        <v>1</v>
      </c>
      <c r="C3" s="24" t="s">
        <v>62</v>
      </c>
      <c r="D3" s="23">
        <v>10</v>
      </c>
      <c r="E3" s="23">
        <v>4000</v>
      </c>
      <c r="F3" s="23">
        <v>40000</v>
      </c>
    </row>
    <row r="4" spans="1:6" ht="15.75" x14ac:dyDescent="0.25">
      <c r="A4" s="23">
        <v>4</v>
      </c>
      <c r="B4" s="23">
        <v>1</v>
      </c>
      <c r="C4" s="24" t="s">
        <v>62</v>
      </c>
      <c r="D4" s="23">
        <v>3</v>
      </c>
      <c r="E4" s="23">
        <v>4000</v>
      </c>
      <c r="F4" s="23">
        <v>12000</v>
      </c>
    </row>
    <row r="5" spans="1:6" ht="15.75" x14ac:dyDescent="0.25">
      <c r="A5" s="23">
        <v>5</v>
      </c>
      <c r="B5" s="23">
        <v>2</v>
      </c>
      <c r="C5" s="24" t="s">
        <v>64</v>
      </c>
      <c r="D5" s="23">
        <v>3</v>
      </c>
      <c r="E5" s="23">
        <v>2500</v>
      </c>
      <c r="F5" s="23">
        <v>7500</v>
      </c>
    </row>
    <row r="6" spans="1:6" ht="15.75" x14ac:dyDescent="0.25">
      <c r="A6" s="23">
        <v>6</v>
      </c>
      <c r="B6" s="23"/>
      <c r="C6" s="24" t="s">
        <v>68</v>
      </c>
      <c r="D6" s="23">
        <v>2</v>
      </c>
      <c r="E6" s="23">
        <v>50000</v>
      </c>
      <c r="F6" s="23">
        <v>100000</v>
      </c>
    </row>
    <row r="7" spans="1:6" ht="15.75" x14ac:dyDescent="0.25">
      <c r="A7" s="23">
        <v>7</v>
      </c>
      <c r="B7" s="23">
        <v>7</v>
      </c>
      <c r="C7" s="24" t="s">
        <v>68</v>
      </c>
      <c r="D7" s="23">
        <v>1</v>
      </c>
      <c r="E7" s="23">
        <v>50000</v>
      </c>
      <c r="F7" s="23">
        <v>50000</v>
      </c>
    </row>
    <row r="8" spans="1:6" ht="15.75" x14ac:dyDescent="0.25">
      <c r="A8" s="23">
        <v>8</v>
      </c>
      <c r="B8" s="23">
        <v>2</v>
      </c>
      <c r="C8" s="24" t="s">
        <v>76</v>
      </c>
      <c r="D8" s="23">
        <v>11</v>
      </c>
      <c r="E8" s="23">
        <v>450</v>
      </c>
      <c r="F8" s="23">
        <v>4950</v>
      </c>
    </row>
    <row r="9" spans="1:6" ht="15.75" x14ac:dyDescent="0.25">
      <c r="A9" s="23">
        <v>9</v>
      </c>
      <c r="B9" s="23">
        <v>2</v>
      </c>
      <c r="C9" s="24" t="s">
        <v>62</v>
      </c>
      <c r="D9" s="23">
        <v>2</v>
      </c>
      <c r="E9" s="23">
        <v>4000</v>
      </c>
      <c r="F9" s="23">
        <v>8000</v>
      </c>
    </row>
    <row r="10" spans="1:6" ht="15.75" x14ac:dyDescent="0.25">
      <c r="A10" s="23">
        <v>10</v>
      </c>
      <c r="B10" s="23">
        <v>4</v>
      </c>
      <c r="C10" s="24" t="s">
        <v>68</v>
      </c>
      <c r="D10" s="23">
        <v>2</v>
      </c>
      <c r="E10" s="23">
        <v>50000</v>
      </c>
      <c r="F10" s="23">
        <v>100000</v>
      </c>
    </row>
    <row r="11" spans="1:6" ht="15.75" x14ac:dyDescent="0.25">
      <c r="A11" s="23">
        <v>11</v>
      </c>
      <c r="B11" s="23">
        <v>1</v>
      </c>
      <c r="C11" s="24" t="s">
        <v>57</v>
      </c>
      <c r="D11" s="23">
        <v>10</v>
      </c>
      <c r="E11" s="23">
        <v>1500</v>
      </c>
      <c r="F11" s="23">
        <v>15000</v>
      </c>
    </row>
    <row r="12" spans="1:6" ht="15.75" x14ac:dyDescent="0.25">
      <c r="A12" s="23">
        <v>12</v>
      </c>
      <c r="B12" s="23">
        <v>1</v>
      </c>
      <c r="C12" s="24" t="s">
        <v>62</v>
      </c>
      <c r="D12" s="23">
        <v>2</v>
      </c>
      <c r="E12" s="23">
        <v>4000</v>
      </c>
      <c r="F12" s="23">
        <v>8000</v>
      </c>
    </row>
    <row r="13" spans="1:6" ht="15.75" x14ac:dyDescent="0.25">
      <c r="A13" s="23">
        <v>13</v>
      </c>
      <c r="B13" s="23">
        <v>2</v>
      </c>
      <c r="C13" s="24" t="s">
        <v>68</v>
      </c>
      <c r="D13" s="23">
        <v>1</v>
      </c>
      <c r="E13" s="23">
        <v>50000</v>
      </c>
      <c r="F13" s="23">
        <v>50000</v>
      </c>
    </row>
    <row r="14" spans="1:6" ht="15.75" x14ac:dyDescent="0.25">
      <c r="A14" s="23">
        <v>14</v>
      </c>
      <c r="B14" s="23">
        <v>5</v>
      </c>
      <c r="C14" s="24" t="s">
        <v>128</v>
      </c>
      <c r="D14" s="23">
        <v>2</v>
      </c>
      <c r="E14" s="23">
        <v>5000</v>
      </c>
      <c r="F14" s="23">
        <v>10000</v>
      </c>
    </row>
    <row r="15" spans="1:6" ht="15.75" x14ac:dyDescent="0.25">
      <c r="A15" s="23">
        <v>15</v>
      </c>
      <c r="B15" s="23">
        <v>5</v>
      </c>
      <c r="C15" s="24" t="s">
        <v>130</v>
      </c>
      <c r="D15" s="23">
        <v>2</v>
      </c>
      <c r="E15" s="23">
        <v>20000</v>
      </c>
      <c r="F15" s="23">
        <v>40000</v>
      </c>
    </row>
    <row r="16" spans="1:6" ht="15.75" x14ac:dyDescent="0.25">
      <c r="A16" s="23">
        <v>16</v>
      </c>
      <c r="B16" s="23">
        <v>7</v>
      </c>
      <c r="C16" s="24" t="s">
        <v>136</v>
      </c>
      <c r="D16" s="23">
        <v>3</v>
      </c>
      <c r="E16" s="23">
        <v>50000</v>
      </c>
      <c r="F16" s="23">
        <v>150000</v>
      </c>
    </row>
    <row r="17" spans="1:6" ht="15.75" x14ac:dyDescent="0.25">
      <c r="A17" s="23">
        <v>17</v>
      </c>
      <c r="B17" s="23">
        <v>5</v>
      </c>
      <c r="C17" s="24" t="s">
        <v>132</v>
      </c>
      <c r="D17" s="23">
        <v>4</v>
      </c>
      <c r="E17" s="23">
        <v>50000</v>
      </c>
      <c r="F17" s="23">
        <v>200000</v>
      </c>
    </row>
    <row r="18" spans="1:6" ht="15.75" x14ac:dyDescent="0.25">
      <c r="A18" s="23">
        <v>18</v>
      </c>
      <c r="B18" s="23">
        <v>5</v>
      </c>
      <c r="C18" s="24" t="s">
        <v>132</v>
      </c>
      <c r="D18" s="23">
        <v>2</v>
      </c>
      <c r="E18" s="23">
        <v>50000</v>
      </c>
      <c r="F18" s="23">
        <v>100000</v>
      </c>
    </row>
    <row r="19" spans="1:6" ht="15.75" x14ac:dyDescent="0.25">
      <c r="A19" s="23">
        <v>19</v>
      </c>
      <c r="B19" s="23">
        <v>5</v>
      </c>
      <c r="C19" s="24" t="s">
        <v>138</v>
      </c>
      <c r="D19" s="23">
        <v>2</v>
      </c>
      <c r="E19" s="23">
        <v>200000</v>
      </c>
      <c r="F19" s="23">
        <v>400000</v>
      </c>
    </row>
    <row r="20" spans="1:6" ht="15.75" x14ac:dyDescent="0.25">
      <c r="A20" s="23">
        <v>20</v>
      </c>
      <c r="B20" s="23">
        <v>7</v>
      </c>
      <c r="C20" s="24" t="s">
        <v>130</v>
      </c>
      <c r="D20" s="23">
        <v>3</v>
      </c>
      <c r="E20" s="23">
        <v>20000</v>
      </c>
      <c r="F20" s="23">
        <v>60000</v>
      </c>
    </row>
    <row r="21" spans="1:6" ht="15.75" x14ac:dyDescent="0.25">
      <c r="A21" s="23">
        <v>21</v>
      </c>
      <c r="B21" s="23">
        <v>7</v>
      </c>
      <c r="C21" s="24" t="s">
        <v>132</v>
      </c>
      <c r="D21" s="23">
        <v>1</v>
      </c>
      <c r="E21" s="23">
        <v>50000</v>
      </c>
      <c r="F21" s="23">
        <v>50000</v>
      </c>
    </row>
    <row r="22" spans="1:6" ht="15.75" x14ac:dyDescent="0.25">
      <c r="A22" s="23">
        <v>22</v>
      </c>
      <c r="B22" s="23">
        <v>7</v>
      </c>
      <c r="C22" s="24" t="s">
        <v>136</v>
      </c>
      <c r="D22" s="23">
        <v>3</v>
      </c>
      <c r="E22" s="23">
        <v>50000</v>
      </c>
      <c r="F22" s="23">
        <v>150000</v>
      </c>
    </row>
    <row r="23" spans="1:6" ht="15.75" x14ac:dyDescent="0.25">
      <c r="A23" s="23">
        <v>23</v>
      </c>
      <c r="B23" s="23">
        <v>7</v>
      </c>
      <c r="C23" s="24" t="s">
        <v>138</v>
      </c>
      <c r="D23" s="23">
        <v>4</v>
      </c>
      <c r="E23" s="23">
        <v>200000</v>
      </c>
      <c r="F23" s="23">
        <v>800000</v>
      </c>
    </row>
    <row r="24" spans="1:6" ht="15.75" x14ac:dyDescent="0.25">
      <c r="A24" s="23">
        <v>24</v>
      </c>
      <c r="B24" s="23">
        <v>7</v>
      </c>
      <c r="C24" s="24" t="s">
        <v>138</v>
      </c>
      <c r="D24" s="23">
        <v>1</v>
      </c>
      <c r="E24" s="23">
        <v>200000</v>
      </c>
      <c r="F24" s="23">
        <v>200000</v>
      </c>
    </row>
    <row r="25" spans="1:6" ht="15.75" x14ac:dyDescent="0.25">
      <c r="A25" s="23">
        <v>25</v>
      </c>
      <c r="B25" s="23">
        <v>8</v>
      </c>
      <c r="C25" s="24" t="s">
        <v>54</v>
      </c>
      <c r="D25" s="23">
        <v>3</v>
      </c>
      <c r="E25" s="23">
        <v>1000</v>
      </c>
      <c r="F25" s="23">
        <v>3000</v>
      </c>
    </row>
    <row r="26" spans="1:6" ht="15.75" x14ac:dyDescent="0.25">
      <c r="A26" s="23">
        <v>26</v>
      </c>
      <c r="B26" s="23">
        <v>4</v>
      </c>
      <c r="C26" s="24" t="s">
        <v>76</v>
      </c>
      <c r="D26" s="23">
        <v>3</v>
      </c>
      <c r="E26" s="23">
        <v>450</v>
      </c>
      <c r="F26" s="23">
        <v>1350</v>
      </c>
    </row>
    <row r="27" spans="1:6" ht="15.75" x14ac:dyDescent="0.25">
      <c r="A27" s="23">
        <v>27</v>
      </c>
      <c r="B27" s="23">
        <v>10</v>
      </c>
      <c r="C27" s="24" t="s">
        <v>57</v>
      </c>
      <c r="D27" s="23">
        <v>2</v>
      </c>
      <c r="E27" s="23">
        <v>1500</v>
      </c>
      <c r="F27" s="23">
        <v>3000</v>
      </c>
    </row>
    <row r="28" spans="1:6" ht="15.75" x14ac:dyDescent="0.25">
      <c r="A28" s="23">
        <v>28</v>
      </c>
      <c r="B28" s="23">
        <v>10</v>
      </c>
      <c r="C28" s="24" t="s">
        <v>68</v>
      </c>
      <c r="D28" s="23">
        <v>1</v>
      </c>
      <c r="E28" s="23">
        <v>50000</v>
      </c>
      <c r="F28" s="23">
        <v>50000</v>
      </c>
    </row>
    <row r="29" spans="1:6" ht="15.75" x14ac:dyDescent="0.25">
      <c r="A29" s="23">
        <v>29</v>
      </c>
      <c r="B29" s="23">
        <v>10</v>
      </c>
      <c r="C29" s="24" t="s">
        <v>73</v>
      </c>
      <c r="D29" s="23">
        <v>2</v>
      </c>
      <c r="E29" s="23">
        <v>500</v>
      </c>
      <c r="F29" s="23">
        <v>1000</v>
      </c>
    </row>
    <row r="30" spans="1:6" ht="15.75" x14ac:dyDescent="0.25">
      <c r="A30" s="23">
        <v>30</v>
      </c>
      <c r="B30" s="23">
        <v>10</v>
      </c>
      <c r="C30" s="24" t="s">
        <v>128</v>
      </c>
      <c r="D30" s="23">
        <v>2</v>
      </c>
      <c r="E30" s="23">
        <v>5000</v>
      </c>
      <c r="F30" s="23">
        <v>10000</v>
      </c>
    </row>
    <row r="31" spans="1:6" ht="15.75" x14ac:dyDescent="0.25">
      <c r="A31" s="23">
        <v>31</v>
      </c>
      <c r="B31" s="23">
        <v>11</v>
      </c>
      <c r="C31" s="24" t="s">
        <v>57</v>
      </c>
      <c r="D31" s="23">
        <v>2</v>
      </c>
      <c r="E31" s="23">
        <v>1500</v>
      </c>
      <c r="F31" s="23">
        <v>3000</v>
      </c>
    </row>
    <row r="32" spans="1:6" ht="15.75" x14ac:dyDescent="0.25">
      <c r="A32" s="23">
        <v>32</v>
      </c>
      <c r="B32" s="23">
        <v>11</v>
      </c>
      <c r="C32" s="24" t="s">
        <v>71</v>
      </c>
      <c r="D32" s="23">
        <v>2</v>
      </c>
      <c r="E32" s="23">
        <v>40000</v>
      </c>
      <c r="F32" s="23">
        <v>80000</v>
      </c>
    </row>
    <row r="33" spans="1:6" ht="15.75" x14ac:dyDescent="0.25">
      <c r="A33" s="23">
        <v>33</v>
      </c>
      <c r="B33" s="23">
        <v>11</v>
      </c>
      <c r="C33" s="24" t="s">
        <v>71</v>
      </c>
      <c r="D33" s="23">
        <v>2</v>
      </c>
      <c r="E33" s="23">
        <v>40000</v>
      </c>
      <c r="F33" s="23">
        <v>80000</v>
      </c>
    </row>
    <row r="34" spans="1:6" ht="15.75" x14ac:dyDescent="0.25">
      <c r="A34" s="23">
        <v>34</v>
      </c>
      <c r="B34" s="23">
        <v>12</v>
      </c>
      <c r="C34" s="24" t="s">
        <v>136</v>
      </c>
      <c r="D34" s="23">
        <v>1</v>
      </c>
      <c r="E34" s="23">
        <v>50000</v>
      </c>
      <c r="F34" s="23">
        <v>50000</v>
      </c>
    </row>
    <row r="35" spans="1:6" ht="15.75" x14ac:dyDescent="0.25">
      <c r="A35" s="23">
        <v>35</v>
      </c>
      <c r="B35" s="23">
        <v>12</v>
      </c>
      <c r="C35" s="24" t="s">
        <v>132</v>
      </c>
      <c r="D35" s="23">
        <v>4</v>
      </c>
      <c r="E35" s="23">
        <v>50000</v>
      </c>
      <c r="F35" s="23">
        <v>200000</v>
      </c>
    </row>
    <row r="36" spans="1:6" ht="15.75" x14ac:dyDescent="0.25">
      <c r="A36" s="23">
        <v>36</v>
      </c>
      <c r="B36" s="23">
        <v>13</v>
      </c>
      <c r="C36" s="24" t="s">
        <v>82</v>
      </c>
      <c r="D36" s="23">
        <v>20</v>
      </c>
      <c r="E36" s="23">
        <v>8000</v>
      </c>
      <c r="F36" s="23">
        <v>160000</v>
      </c>
    </row>
    <row r="37" spans="1:6" ht="15.75" x14ac:dyDescent="0.25">
      <c r="A37" s="23">
        <v>37</v>
      </c>
      <c r="B37" s="23">
        <v>13</v>
      </c>
      <c r="C37" s="24" t="s">
        <v>73</v>
      </c>
      <c r="D37" s="23">
        <v>2</v>
      </c>
      <c r="E37" s="23">
        <v>500</v>
      </c>
      <c r="F37" s="23">
        <v>1000</v>
      </c>
    </row>
    <row r="38" spans="1:6" ht="15.75" x14ac:dyDescent="0.25">
      <c r="A38" s="23">
        <v>38</v>
      </c>
      <c r="B38" s="23">
        <v>14</v>
      </c>
      <c r="C38" s="24" t="s">
        <v>64</v>
      </c>
      <c r="D38" s="23">
        <v>10</v>
      </c>
      <c r="E38" s="23">
        <v>2500</v>
      </c>
      <c r="F38" s="23">
        <v>25000</v>
      </c>
    </row>
    <row r="39" spans="1:6" ht="15.75" x14ac:dyDescent="0.25">
      <c r="A39" s="23">
        <v>39</v>
      </c>
      <c r="B39" s="23">
        <v>15</v>
      </c>
      <c r="C39" s="24" t="s">
        <v>57</v>
      </c>
      <c r="D39" s="23">
        <v>12</v>
      </c>
      <c r="E39" s="23">
        <v>1500</v>
      </c>
      <c r="F39" s="23">
        <v>18000</v>
      </c>
    </row>
    <row r="40" spans="1:6" ht="15.75" x14ac:dyDescent="0.25">
      <c r="A40" s="23">
        <v>40</v>
      </c>
      <c r="B40" s="23">
        <v>16</v>
      </c>
      <c r="C40" s="24" t="s">
        <v>374</v>
      </c>
      <c r="D40" s="23">
        <v>3</v>
      </c>
      <c r="E40" s="23">
        <v>4500</v>
      </c>
      <c r="F40" s="23">
        <v>13500</v>
      </c>
    </row>
    <row r="41" spans="1:6" ht="15.75" x14ac:dyDescent="0.25">
      <c r="A41" s="23">
        <v>41</v>
      </c>
      <c r="B41" s="23">
        <v>17</v>
      </c>
      <c r="C41" s="24" t="s">
        <v>64</v>
      </c>
      <c r="D41" s="23">
        <v>11</v>
      </c>
      <c r="E41" s="23">
        <v>2500</v>
      </c>
      <c r="F41" s="23">
        <v>27500</v>
      </c>
    </row>
    <row r="42" spans="1:6" ht="15.75" x14ac:dyDescent="0.25">
      <c r="A42" s="23">
        <v>42</v>
      </c>
      <c r="B42" s="23">
        <v>18</v>
      </c>
      <c r="C42" s="24" t="s">
        <v>128</v>
      </c>
      <c r="D42" s="23">
        <v>10</v>
      </c>
      <c r="E42" s="23">
        <v>5000</v>
      </c>
      <c r="F42" s="23">
        <v>50000</v>
      </c>
    </row>
    <row r="43" spans="1:6" ht="15.75" x14ac:dyDescent="0.25">
      <c r="A43" s="23">
        <v>43</v>
      </c>
      <c r="B43" s="23">
        <v>18</v>
      </c>
      <c r="C43" s="24" t="s">
        <v>54</v>
      </c>
      <c r="D43" s="23">
        <v>12</v>
      </c>
      <c r="E43" s="23">
        <v>1000</v>
      </c>
      <c r="F43" s="23">
        <v>12000</v>
      </c>
    </row>
    <row r="44" spans="1:6" ht="15.75" x14ac:dyDescent="0.25">
      <c r="A44" s="23">
        <v>44</v>
      </c>
      <c r="B44" s="23">
        <v>19</v>
      </c>
      <c r="C44" s="24" t="s">
        <v>138</v>
      </c>
      <c r="D44" s="23">
        <v>2</v>
      </c>
      <c r="E44" s="23">
        <v>200000</v>
      </c>
      <c r="F44" s="23">
        <v>400000</v>
      </c>
    </row>
    <row r="45" spans="1:6" ht="15.75" x14ac:dyDescent="0.25">
      <c r="A45" s="23">
        <v>45</v>
      </c>
      <c r="B45" s="23">
        <v>20</v>
      </c>
      <c r="C45" s="24" t="s">
        <v>64</v>
      </c>
      <c r="D45" s="23">
        <v>10</v>
      </c>
      <c r="E45" s="23">
        <v>2500</v>
      </c>
      <c r="F45" s="23">
        <v>25000</v>
      </c>
    </row>
    <row r="46" spans="1:6" ht="15.75" x14ac:dyDescent="0.25">
      <c r="A46" s="23">
        <v>46</v>
      </c>
      <c r="B46" s="23">
        <v>21</v>
      </c>
      <c r="C46" s="24" t="s">
        <v>78</v>
      </c>
      <c r="D46" s="23">
        <v>40</v>
      </c>
      <c r="E46" s="23">
        <v>7000</v>
      </c>
      <c r="F46" s="23">
        <v>280000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2980D-FE0A-4AF9-9904-ED0DAF9D36C2}">
  <sheetPr codeName="Feuil7">
    <tabColor theme="2" tint="-0.249977111117893"/>
  </sheetPr>
  <dimension ref="A1:E22"/>
  <sheetViews>
    <sheetView showGridLines="0" workbookViewId="0">
      <selection activeCell="I8" sqref="I8"/>
    </sheetView>
  </sheetViews>
  <sheetFormatPr baseColWidth="10" defaultRowHeight="15" x14ac:dyDescent="0.25"/>
  <cols>
    <col min="1" max="1" width="32.42578125" bestFit="1" customWidth="1"/>
    <col min="2" max="2" width="24.42578125" bestFit="1" customWidth="1"/>
    <col min="3" max="3" width="8.85546875" bestFit="1" customWidth="1"/>
    <col min="4" max="4" width="12.140625" bestFit="1" customWidth="1"/>
    <col min="5" max="5" width="9.28515625" bestFit="1" customWidth="1"/>
  </cols>
  <sheetData>
    <row r="1" spans="1:5" ht="30" customHeight="1" x14ac:dyDescent="0.35">
      <c r="B1" s="16" t="s">
        <v>415</v>
      </c>
    </row>
    <row r="2" spans="1:5" ht="5.0999999999999996" customHeight="1" x14ac:dyDescent="0.25">
      <c r="A2" s="78"/>
      <c r="B2" s="78"/>
      <c r="C2" s="78"/>
      <c r="D2" s="78"/>
      <c r="E2" s="78"/>
    </row>
    <row r="3" spans="1:5" ht="24.75" customHeight="1" x14ac:dyDescent="0.25">
      <c r="A3" t="s">
        <v>32</v>
      </c>
    </row>
    <row r="4" spans="1:5" ht="13.5" customHeight="1" x14ac:dyDescent="0.25">
      <c r="A4" t="s">
        <v>416</v>
      </c>
    </row>
    <row r="6" spans="1:5" x14ac:dyDescent="0.25">
      <c r="A6" s="17" t="s">
        <v>37</v>
      </c>
    </row>
    <row r="7" spans="1:5" x14ac:dyDescent="0.25">
      <c r="A7" s="15" t="s">
        <v>417</v>
      </c>
    </row>
    <row r="8" spans="1:5" x14ac:dyDescent="0.25">
      <c r="A8" t="s">
        <v>418</v>
      </c>
    </row>
    <row r="10" spans="1:5" x14ac:dyDescent="0.25">
      <c r="A10" s="18" t="s">
        <v>38</v>
      </c>
    </row>
    <row r="12" spans="1:5" x14ac:dyDescent="0.25">
      <c r="A12" s="19" t="s">
        <v>39</v>
      </c>
      <c r="B12" s="19" t="s">
        <v>33</v>
      </c>
      <c r="C12" s="19" t="s">
        <v>34</v>
      </c>
      <c r="D12" s="19" t="s">
        <v>35</v>
      </c>
      <c r="E12" s="19" t="s">
        <v>36</v>
      </c>
    </row>
    <row r="13" spans="1:5" x14ac:dyDescent="0.25">
      <c r="A13" s="20">
        <v>21</v>
      </c>
      <c r="B13" s="20" t="s">
        <v>79</v>
      </c>
      <c r="C13" s="20">
        <v>40</v>
      </c>
      <c r="D13" s="20">
        <v>7000</v>
      </c>
      <c r="E13" s="20">
        <v>280000</v>
      </c>
    </row>
    <row r="14" spans="1:5" ht="9" customHeight="1" x14ac:dyDescent="0.25"/>
    <row r="15" spans="1:5" x14ac:dyDescent="0.25">
      <c r="A15" t="s">
        <v>419</v>
      </c>
    </row>
    <row r="16" spans="1:5" ht="16.5" customHeight="1" x14ac:dyDescent="0.25">
      <c r="A16" t="s">
        <v>120</v>
      </c>
    </row>
    <row r="17" spans="1:5" ht="14.25" customHeight="1" x14ac:dyDescent="0.25">
      <c r="A17" t="s">
        <v>420</v>
      </c>
    </row>
    <row r="18" spans="1:5" ht="5.0999999999999996" customHeight="1" x14ac:dyDescent="0.25"/>
    <row r="19" spans="1:5" ht="5.0999999999999996" customHeight="1" x14ac:dyDescent="0.25">
      <c r="A19" s="78"/>
      <c r="B19" s="78"/>
      <c r="C19" s="78"/>
      <c r="D19" s="78"/>
      <c r="E19" s="78"/>
    </row>
    <row r="21" spans="1:5" ht="5.0999999999999996" customHeight="1" x14ac:dyDescent="0.25"/>
    <row r="22" spans="1:5" ht="5.0999999999999996" customHeight="1" x14ac:dyDescent="0.25"/>
  </sheetData>
  <mergeCells count="2">
    <mergeCell ref="A19:E19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35DB-7F0F-477E-AE67-79C375650B76}">
  <sheetPr codeName="Feuil11"/>
  <dimension ref="A1:AF55"/>
  <sheetViews>
    <sheetView zoomScale="40" zoomScaleNormal="40" workbookViewId="0">
      <selection activeCell="D76" sqref="D76"/>
    </sheetView>
  </sheetViews>
  <sheetFormatPr baseColWidth="10" defaultRowHeight="15" x14ac:dyDescent="0.25"/>
  <cols>
    <col min="1" max="1" width="21.85546875" customWidth="1"/>
    <col min="2" max="2" width="16.28515625" customWidth="1"/>
    <col min="3" max="3" width="19.140625" customWidth="1"/>
    <col min="4" max="4" width="31.42578125" customWidth="1"/>
    <col min="5" max="5" width="17" customWidth="1"/>
    <col min="6" max="6" width="16.5703125" customWidth="1"/>
    <col min="7" max="7" width="23.28515625" customWidth="1"/>
    <col min="8" max="8" width="26.5703125" customWidth="1"/>
    <col min="9" max="9" width="26.140625" customWidth="1"/>
    <col min="10" max="10" width="23.7109375" customWidth="1"/>
    <col min="11" max="11" width="22.5703125" customWidth="1"/>
    <col min="12" max="12" width="26.28515625" customWidth="1"/>
    <col min="13" max="13" width="27.7109375" customWidth="1"/>
    <col min="14" max="14" width="24.5703125" customWidth="1"/>
    <col min="15" max="15" width="31.7109375" customWidth="1"/>
    <col min="16" max="16" width="22.7109375" customWidth="1"/>
    <col min="17" max="17" width="34.85546875" customWidth="1"/>
    <col min="18" max="18" width="29.7109375" customWidth="1"/>
    <col min="19" max="19" width="26" customWidth="1"/>
    <col min="20" max="20" width="20.5703125" customWidth="1"/>
    <col min="21" max="21" width="21" customWidth="1"/>
    <col min="22" max="22" width="23.7109375" customWidth="1"/>
    <col min="23" max="23" width="19.85546875" customWidth="1"/>
    <col min="24" max="24" width="47.7109375" customWidth="1"/>
    <col min="25" max="26" width="19.7109375" customWidth="1"/>
    <col min="27" max="27" width="26.85546875" customWidth="1"/>
    <col min="28" max="28" width="33" customWidth="1"/>
    <col min="29" max="29" width="21.42578125" customWidth="1"/>
    <col min="30" max="30" width="35.140625" customWidth="1"/>
    <col min="31" max="32" width="40.5703125" customWidth="1"/>
  </cols>
  <sheetData>
    <row r="1" spans="1:32" ht="16.5" x14ac:dyDescent="0.3">
      <c r="A1" s="33" t="s">
        <v>24</v>
      </c>
      <c r="B1" s="34" t="s">
        <v>21</v>
      </c>
      <c r="C1" s="35" t="s">
        <v>25</v>
      </c>
      <c r="D1" s="34" t="s">
        <v>26</v>
      </c>
      <c r="E1" s="34" t="s">
        <v>27</v>
      </c>
      <c r="F1" s="34" t="s">
        <v>28</v>
      </c>
      <c r="G1" s="36" t="s">
        <v>22</v>
      </c>
      <c r="H1" s="37" t="s">
        <v>7</v>
      </c>
      <c r="I1" s="37" t="s">
        <v>14</v>
      </c>
      <c r="J1" s="37" t="s">
        <v>23</v>
      </c>
      <c r="K1" s="38" t="s">
        <v>4</v>
      </c>
      <c r="L1" s="38" t="s">
        <v>1</v>
      </c>
      <c r="M1" s="38" t="s">
        <v>0</v>
      </c>
      <c r="N1" s="38" t="s">
        <v>2</v>
      </c>
      <c r="O1" s="38" t="s">
        <v>49</v>
      </c>
      <c r="P1" s="38" t="s">
        <v>3</v>
      </c>
      <c r="Q1" s="39" t="s">
        <v>5</v>
      </c>
      <c r="R1" s="39" t="s">
        <v>6</v>
      </c>
      <c r="S1" s="40" t="s">
        <v>8</v>
      </c>
      <c r="T1" s="40" t="s">
        <v>9</v>
      </c>
      <c r="U1" s="40" t="s">
        <v>13</v>
      </c>
      <c r="V1" s="40" t="s">
        <v>10</v>
      </c>
      <c r="W1" s="40" t="s">
        <v>11</v>
      </c>
      <c r="X1" s="40" t="s">
        <v>12</v>
      </c>
      <c r="Y1" s="40" t="s">
        <v>15</v>
      </c>
      <c r="Z1" s="40" t="s">
        <v>16</v>
      </c>
      <c r="AA1" s="40" t="s">
        <v>29</v>
      </c>
      <c r="AB1" s="40" t="s">
        <v>17</v>
      </c>
      <c r="AC1" s="40" t="s">
        <v>18</v>
      </c>
      <c r="AD1" s="40" t="s">
        <v>19</v>
      </c>
      <c r="AE1" s="41" t="s">
        <v>20</v>
      </c>
      <c r="AF1" s="40" t="s">
        <v>110</v>
      </c>
    </row>
    <row r="2" spans="1:32" x14ac:dyDescent="0.25">
      <c r="A2" s="43">
        <v>1</v>
      </c>
      <c r="B2" s="42">
        <v>1</v>
      </c>
      <c r="C2" s="42" t="s">
        <v>54</v>
      </c>
      <c r="D2" s="42">
        <v>2</v>
      </c>
      <c r="E2" s="42">
        <v>1000</v>
      </c>
      <c r="F2" s="42">
        <v>2000</v>
      </c>
      <c r="G2" s="75" t="s">
        <v>103</v>
      </c>
      <c r="H2" s="42">
        <v>1</v>
      </c>
      <c r="I2" s="42" t="s">
        <v>90</v>
      </c>
      <c r="J2" s="42" t="s">
        <v>104</v>
      </c>
      <c r="K2" s="42" t="s">
        <v>55</v>
      </c>
      <c r="L2" s="42" t="s">
        <v>56</v>
      </c>
      <c r="M2" s="42">
        <v>1000</v>
      </c>
      <c r="N2" s="42">
        <v>138</v>
      </c>
      <c r="O2" s="42" t="s">
        <v>51</v>
      </c>
      <c r="P2" s="42"/>
      <c r="Q2" s="42" t="s">
        <v>52</v>
      </c>
      <c r="R2" s="42" t="s">
        <v>53</v>
      </c>
      <c r="S2" s="42" t="s">
        <v>100</v>
      </c>
      <c r="T2" s="42" t="s">
        <v>101</v>
      </c>
      <c r="U2" s="42" t="s">
        <v>87</v>
      </c>
      <c r="V2" s="42" t="s">
        <v>75</v>
      </c>
      <c r="W2" s="42">
        <v>983273816</v>
      </c>
      <c r="X2" s="42" t="s">
        <v>102</v>
      </c>
      <c r="Y2" s="42" t="s">
        <v>91</v>
      </c>
      <c r="Z2" s="42" t="s">
        <v>92</v>
      </c>
      <c r="AA2" s="42" t="s">
        <v>93</v>
      </c>
      <c r="AB2" s="42" t="s">
        <v>94</v>
      </c>
      <c r="AC2" s="42">
        <v>823673892</v>
      </c>
      <c r="AD2" s="42" t="s">
        <v>31</v>
      </c>
      <c r="AE2" s="44"/>
      <c r="AF2" s="42" t="s">
        <v>111</v>
      </c>
    </row>
    <row r="3" spans="1:32" x14ac:dyDescent="0.25">
      <c r="A3" s="43">
        <v>2</v>
      </c>
      <c r="B3" s="42">
        <v>1</v>
      </c>
      <c r="C3" s="42" t="s">
        <v>60</v>
      </c>
      <c r="D3" s="42">
        <v>10</v>
      </c>
      <c r="E3" s="42">
        <v>5000</v>
      </c>
      <c r="F3" s="42">
        <v>50000</v>
      </c>
      <c r="G3" s="75" t="s">
        <v>103</v>
      </c>
      <c r="H3" s="42">
        <v>1</v>
      </c>
      <c r="I3" s="42" t="s">
        <v>90</v>
      </c>
      <c r="J3" s="42" t="s">
        <v>104</v>
      </c>
      <c r="K3" s="42" t="s">
        <v>61</v>
      </c>
      <c r="L3" s="42" t="s">
        <v>59</v>
      </c>
      <c r="M3" s="42">
        <v>5000</v>
      </c>
      <c r="N3" s="42">
        <v>80</v>
      </c>
      <c r="O3" s="42" t="s">
        <v>51</v>
      </c>
      <c r="P3" s="42"/>
      <c r="Q3" s="42" t="s">
        <v>52</v>
      </c>
      <c r="R3" s="42" t="s">
        <v>53</v>
      </c>
      <c r="S3" s="42" t="s">
        <v>100</v>
      </c>
      <c r="T3" s="42" t="s">
        <v>101</v>
      </c>
      <c r="U3" s="42" t="s">
        <v>87</v>
      </c>
      <c r="V3" s="42" t="s">
        <v>75</v>
      </c>
      <c r="W3" s="42">
        <v>983273816</v>
      </c>
      <c r="X3" s="42" t="s">
        <v>102</v>
      </c>
      <c r="Y3" s="42" t="s">
        <v>91</v>
      </c>
      <c r="Z3" s="42" t="s">
        <v>92</v>
      </c>
      <c r="AA3" s="42" t="s">
        <v>93</v>
      </c>
      <c r="AB3" s="42" t="s">
        <v>94</v>
      </c>
      <c r="AC3" s="42">
        <v>823673892</v>
      </c>
      <c r="AD3" s="42" t="s">
        <v>31</v>
      </c>
      <c r="AE3" s="44"/>
      <c r="AF3" s="42" t="s">
        <v>111</v>
      </c>
    </row>
    <row r="4" spans="1:32" x14ac:dyDescent="0.25">
      <c r="A4" s="43">
        <v>1</v>
      </c>
      <c r="B4" s="42">
        <v>1</v>
      </c>
      <c r="C4" s="42" t="s">
        <v>54</v>
      </c>
      <c r="D4" s="42">
        <v>2</v>
      </c>
      <c r="E4" s="42">
        <v>1000</v>
      </c>
      <c r="F4" s="42">
        <v>2000</v>
      </c>
      <c r="G4" s="75" t="s">
        <v>103</v>
      </c>
      <c r="H4" s="42">
        <v>1</v>
      </c>
      <c r="I4" s="42" t="s">
        <v>90</v>
      </c>
      <c r="J4" s="42" t="s">
        <v>104</v>
      </c>
      <c r="K4" s="42" t="s">
        <v>55</v>
      </c>
      <c r="L4" s="42" t="s">
        <v>56</v>
      </c>
      <c r="M4" s="42">
        <v>1000</v>
      </c>
      <c r="N4" s="42">
        <v>140</v>
      </c>
      <c r="O4" s="42" t="s">
        <v>51</v>
      </c>
      <c r="P4" s="42"/>
      <c r="Q4" s="42" t="s">
        <v>52</v>
      </c>
      <c r="R4" s="42" t="s">
        <v>53</v>
      </c>
      <c r="S4" s="42" t="s">
        <v>100</v>
      </c>
      <c r="T4" s="42" t="s">
        <v>101</v>
      </c>
      <c r="U4" s="42" t="s">
        <v>87</v>
      </c>
      <c r="V4" s="42" t="s">
        <v>75</v>
      </c>
      <c r="W4" s="42">
        <v>983273816</v>
      </c>
      <c r="X4" s="42" t="s">
        <v>102</v>
      </c>
      <c r="Y4" s="42" t="s">
        <v>91</v>
      </c>
      <c r="Z4" s="42" t="s">
        <v>92</v>
      </c>
      <c r="AA4" s="42" t="s">
        <v>93</v>
      </c>
      <c r="AB4" s="42" t="s">
        <v>94</v>
      </c>
      <c r="AC4" s="42">
        <v>823673892</v>
      </c>
      <c r="AD4" s="42" t="s">
        <v>31</v>
      </c>
      <c r="AE4" s="44"/>
      <c r="AF4" s="42" t="s">
        <v>112</v>
      </c>
    </row>
    <row r="5" spans="1:32" hidden="1" x14ac:dyDescent="0.25">
      <c r="A5" s="43">
        <v>3</v>
      </c>
      <c r="B5" s="42"/>
      <c r="C5" s="42" t="s">
        <v>62</v>
      </c>
      <c r="D5" s="42">
        <v>10</v>
      </c>
      <c r="E5" s="42">
        <v>4000</v>
      </c>
      <c r="F5" s="42">
        <v>40000</v>
      </c>
      <c r="G5" s="42"/>
      <c r="H5" s="42"/>
      <c r="I5" s="42"/>
      <c r="J5" s="42"/>
      <c r="K5" s="42" t="s">
        <v>63</v>
      </c>
      <c r="L5" s="42" t="s">
        <v>59</v>
      </c>
      <c r="M5" s="42">
        <v>4000</v>
      </c>
      <c r="N5" s="42">
        <v>130</v>
      </c>
      <c r="O5" s="42" t="s">
        <v>51</v>
      </c>
      <c r="P5" s="42"/>
      <c r="Q5" s="42" t="s">
        <v>52</v>
      </c>
      <c r="R5" s="42" t="s">
        <v>53</v>
      </c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4"/>
      <c r="AF5" s="42" t="s">
        <v>111</v>
      </c>
    </row>
    <row r="6" spans="1:32" x14ac:dyDescent="0.25">
      <c r="A6" s="43">
        <v>4</v>
      </c>
      <c r="B6" s="42">
        <v>1</v>
      </c>
      <c r="C6" s="42" t="s">
        <v>62</v>
      </c>
      <c r="D6" s="42">
        <v>3</v>
      </c>
      <c r="E6" s="42">
        <v>4000</v>
      </c>
      <c r="F6" s="42">
        <v>12000</v>
      </c>
      <c r="G6" s="75" t="s">
        <v>103</v>
      </c>
      <c r="H6" s="42">
        <v>1</v>
      </c>
      <c r="I6" s="42" t="s">
        <v>90</v>
      </c>
      <c r="J6" s="42" t="s">
        <v>104</v>
      </c>
      <c r="K6" s="42" t="s">
        <v>63</v>
      </c>
      <c r="L6" s="42" t="s">
        <v>59</v>
      </c>
      <c r="M6" s="42">
        <v>4000</v>
      </c>
      <c r="N6" s="42">
        <v>127</v>
      </c>
      <c r="O6" s="42" t="s">
        <v>51</v>
      </c>
      <c r="P6" s="42"/>
      <c r="Q6" s="42" t="s">
        <v>52</v>
      </c>
      <c r="R6" s="42" t="s">
        <v>53</v>
      </c>
      <c r="S6" s="42" t="s">
        <v>100</v>
      </c>
      <c r="T6" s="42" t="s">
        <v>101</v>
      </c>
      <c r="U6" s="42" t="s">
        <v>87</v>
      </c>
      <c r="V6" s="42" t="s">
        <v>75</v>
      </c>
      <c r="W6" s="42">
        <v>983273816</v>
      </c>
      <c r="X6" s="42" t="s">
        <v>102</v>
      </c>
      <c r="Y6" s="42" t="s">
        <v>91</v>
      </c>
      <c r="Z6" s="42" t="s">
        <v>92</v>
      </c>
      <c r="AA6" s="42" t="s">
        <v>93</v>
      </c>
      <c r="AB6" s="42" t="s">
        <v>94</v>
      </c>
      <c r="AC6" s="42">
        <v>823673892</v>
      </c>
      <c r="AD6" s="42" t="s">
        <v>31</v>
      </c>
      <c r="AE6" s="44"/>
      <c r="AF6" s="42" t="s">
        <v>111</v>
      </c>
    </row>
    <row r="7" spans="1:32" x14ac:dyDescent="0.25">
      <c r="A7" s="43">
        <v>3</v>
      </c>
      <c r="B7" s="42">
        <v>1</v>
      </c>
      <c r="C7" s="42" t="s">
        <v>62</v>
      </c>
      <c r="D7" s="42">
        <v>10</v>
      </c>
      <c r="E7" s="42">
        <v>4000</v>
      </c>
      <c r="F7" s="42">
        <v>40000</v>
      </c>
      <c r="G7" s="75" t="s">
        <v>103</v>
      </c>
      <c r="H7" s="42">
        <v>1</v>
      </c>
      <c r="I7" s="42" t="s">
        <v>90</v>
      </c>
      <c r="J7" s="42" t="s">
        <v>104</v>
      </c>
      <c r="K7" s="42" t="s">
        <v>63</v>
      </c>
      <c r="L7" s="42" t="s">
        <v>59</v>
      </c>
      <c r="M7" s="42">
        <v>4000</v>
      </c>
      <c r="N7" s="42">
        <v>127</v>
      </c>
      <c r="O7" s="42" t="s">
        <v>51</v>
      </c>
      <c r="P7" s="42"/>
      <c r="Q7" s="42" t="s">
        <v>52</v>
      </c>
      <c r="R7" s="42" t="s">
        <v>53</v>
      </c>
      <c r="S7" s="42" t="s">
        <v>100</v>
      </c>
      <c r="T7" s="42" t="s">
        <v>101</v>
      </c>
      <c r="U7" s="42" t="s">
        <v>87</v>
      </c>
      <c r="V7" s="42" t="s">
        <v>75</v>
      </c>
      <c r="W7" s="42">
        <v>983273816</v>
      </c>
      <c r="X7" s="42" t="s">
        <v>102</v>
      </c>
      <c r="Y7" s="42" t="s">
        <v>91</v>
      </c>
      <c r="Z7" s="42" t="s">
        <v>92</v>
      </c>
      <c r="AA7" s="42" t="s">
        <v>93</v>
      </c>
      <c r="AB7" s="42" t="s">
        <v>94</v>
      </c>
      <c r="AC7" s="42">
        <v>823673892</v>
      </c>
      <c r="AD7" s="42" t="s">
        <v>31</v>
      </c>
      <c r="AE7" s="44"/>
      <c r="AF7" s="42" t="s">
        <v>113</v>
      </c>
    </row>
    <row r="8" spans="1:32" x14ac:dyDescent="0.25">
      <c r="A8" s="43">
        <v>5</v>
      </c>
      <c r="B8" s="42">
        <v>2</v>
      </c>
      <c r="C8" s="42" t="s">
        <v>64</v>
      </c>
      <c r="D8" s="42">
        <v>3</v>
      </c>
      <c r="E8" s="42">
        <v>2500</v>
      </c>
      <c r="F8" s="42">
        <v>7500</v>
      </c>
      <c r="G8" s="75" t="s">
        <v>109</v>
      </c>
      <c r="H8" s="42">
        <v>2</v>
      </c>
      <c r="I8" s="42" t="s">
        <v>84</v>
      </c>
      <c r="J8" s="42" t="s">
        <v>104</v>
      </c>
      <c r="K8" s="42" t="s">
        <v>65</v>
      </c>
      <c r="L8" s="42" t="s">
        <v>59</v>
      </c>
      <c r="M8" s="42">
        <v>2500</v>
      </c>
      <c r="N8" s="42">
        <v>44</v>
      </c>
      <c r="O8" s="42" t="s">
        <v>51</v>
      </c>
      <c r="P8" s="42"/>
      <c r="Q8" s="42" t="s">
        <v>52</v>
      </c>
      <c r="R8" s="42" t="s">
        <v>53</v>
      </c>
      <c r="S8" s="42" t="s">
        <v>106</v>
      </c>
      <c r="T8" s="42" t="s">
        <v>107</v>
      </c>
      <c r="U8" s="42" t="s">
        <v>87</v>
      </c>
      <c r="V8" s="42" t="s">
        <v>75</v>
      </c>
      <c r="W8" s="42">
        <v>987364782</v>
      </c>
      <c r="X8" s="42" t="s">
        <v>108</v>
      </c>
      <c r="Y8" s="42" t="s">
        <v>85</v>
      </c>
      <c r="Z8" s="42" t="s">
        <v>86</v>
      </c>
      <c r="AA8" s="42" t="s">
        <v>87</v>
      </c>
      <c r="AB8" s="42" t="s">
        <v>88</v>
      </c>
      <c r="AC8" s="42">
        <v>928928292</v>
      </c>
      <c r="AD8" s="42" t="s">
        <v>89</v>
      </c>
      <c r="AE8" s="44"/>
      <c r="AF8" s="42" t="s">
        <v>111</v>
      </c>
    </row>
    <row r="9" spans="1:32" hidden="1" x14ac:dyDescent="0.25">
      <c r="A9" s="43">
        <v>6</v>
      </c>
      <c r="B9" s="42"/>
      <c r="C9" s="42" t="s">
        <v>68</v>
      </c>
      <c r="D9" s="42">
        <v>2</v>
      </c>
      <c r="E9" s="42">
        <v>50000</v>
      </c>
      <c r="F9" s="42">
        <v>100000</v>
      </c>
      <c r="G9" s="42"/>
      <c r="H9" s="42"/>
      <c r="I9" s="42"/>
      <c r="J9" s="42"/>
      <c r="K9" s="42" t="s">
        <v>69</v>
      </c>
      <c r="L9" s="42" t="s">
        <v>70</v>
      </c>
      <c r="M9" s="42">
        <v>50000</v>
      </c>
      <c r="N9" s="42">
        <v>13</v>
      </c>
      <c r="O9" s="42" t="s">
        <v>66</v>
      </c>
      <c r="P9" s="42"/>
      <c r="Q9" s="42" t="s">
        <v>67</v>
      </c>
      <c r="R9" s="42" t="s">
        <v>59</v>
      </c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4"/>
      <c r="AF9" s="42" t="s">
        <v>111</v>
      </c>
    </row>
    <row r="10" spans="1:32" x14ac:dyDescent="0.25">
      <c r="A10" s="43">
        <v>5</v>
      </c>
      <c r="B10" s="42">
        <v>2</v>
      </c>
      <c r="C10" s="42" t="s">
        <v>64</v>
      </c>
      <c r="D10" s="42">
        <v>3</v>
      </c>
      <c r="E10" s="42">
        <v>2500</v>
      </c>
      <c r="F10" s="42">
        <v>7500</v>
      </c>
      <c r="G10" s="75" t="s">
        <v>109</v>
      </c>
      <c r="H10" s="42">
        <v>2</v>
      </c>
      <c r="I10" s="42" t="s">
        <v>84</v>
      </c>
      <c r="J10" s="42" t="s">
        <v>104</v>
      </c>
      <c r="K10" s="42" t="s">
        <v>65</v>
      </c>
      <c r="L10" s="42" t="s">
        <v>59</v>
      </c>
      <c r="M10" s="42">
        <v>2500</v>
      </c>
      <c r="N10" s="42">
        <v>47</v>
      </c>
      <c r="O10" s="42" t="s">
        <v>51</v>
      </c>
      <c r="P10" s="42"/>
      <c r="Q10" s="42" t="s">
        <v>52</v>
      </c>
      <c r="R10" s="42" t="s">
        <v>53</v>
      </c>
      <c r="S10" s="42" t="s">
        <v>106</v>
      </c>
      <c r="T10" s="42" t="s">
        <v>107</v>
      </c>
      <c r="U10" s="42" t="s">
        <v>87</v>
      </c>
      <c r="V10" s="42" t="s">
        <v>75</v>
      </c>
      <c r="W10" s="42">
        <v>987364782</v>
      </c>
      <c r="X10" s="42" t="s">
        <v>108</v>
      </c>
      <c r="Y10" s="42" t="s">
        <v>85</v>
      </c>
      <c r="Z10" s="42" t="s">
        <v>86</v>
      </c>
      <c r="AA10" s="42" t="s">
        <v>87</v>
      </c>
      <c r="AB10" s="42" t="s">
        <v>88</v>
      </c>
      <c r="AC10" s="42">
        <v>928928292</v>
      </c>
      <c r="AD10" s="42" t="s">
        <v>89</v>
      </c>
      <c r="AE10" s="44"/>
      <c r="AF10" s="42" t="s">
        <v>113</v>
      </c>
    </row>
    <row r="11" spans="1:32" hidden="1" x14ac:dyDescent="0.25">
      <c r="A11" s="43">
        <v>7</v>
      </c>
      <c r="B11" s="42"/>
      <c r="C11" s="42" t="s">
        <v>68</v>
      </c>
      <c r="D11" s="42">
        <v>1</v>
      </c>
      <c r="E11" s="42">
        <v>50000</v>
      </c>
      <c r="F11" s="42">
        <v>50000</v>
      </c>
      <c r="G11" s="42"/>
      <c r="H11" s="42"/>
      <c r="I11" s="42"/>
      <c r="J11" s="42"/>
      <c r="K11" s="42" t="s">
        <v>69</v>
      </c>
      <c r="L11" s="42" t="s">
        <v>70</v>
      </c>
      <c r="M11" s="42">
        <v>50000</v>
      </c>
      <c r="N11" s="42">
        <v>12</v>
      </c>
      <c r="O11" s="42" t="s">
        <v>66</v>
      </c>
      <c r="P11" s="42"/>
      <c r="Q11" s="42" t="s">
        <v>67</v>
      </c>
      <c r="R11" s="42" t="s">
        <v>59</v>
      </c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4"/>
      <c r="AF11" s="42" t="s">
        <v>111</v>
      </c>
    </row>
    <row r="12" spans="1:32" x14ac:dyDescent="0.25">
      <c r="A12" s="43">
        <v>8</v>
      </c>
      <c r="B12" s="42">
        <v>2</v>
      </c>
      <c r="C12" s="42" t="s">
        <v>76</v>
      </c>
      <c r="D12" s="42">
        <v>10</v>
      </c>
      <c r="E12" s="42">
        <v>450</v>
      </c>
      <c r="F12" s="42">
        <v>4500</v>
      </c>
      <c r="G12" s="75" t="s">
        <v>109</v>
      </c>
      <c r="H12" s="42">
        <v>2</v>
      </c>
      <c r="I12" s="42" t="s">
        <v>84</v>
      </c>
      <c r="J12" s="42" t="s">
        <v>104</v>
      </c>
      <c r="K12" s="42" t="s">
        <v>77</v>
      </c>
      <c r="L12" s="42" t="s">
        <v>75</v>
      </c>
      <c r="M12" s="42">
        <v>450</v>
      </c>
      <c r="N12" s="42">
        <v>290</v>
      </c>
      <c r="O12" s="42" t="s">
        <v>66</v>
      </c>
      <c r="P12" s="42"/>
      <c r="Q12" s="42" t="s">
        <v>67</v>
      </c>
      <c r="R12" s="42" t="s">
        <v>59</v>
      </c>
      <c r="S12" s="42" t="s">
        <v>106</v>
      </c>
      <c r="T12" s="42" t="s">
        <v>107</v>
      </c>
      <c r="U12" s="42" t="s">
        <v>87</v>
      </c>
      <c r="V12" s="42" t="s">
        <v>75</v>
      </c>
      <c r="W12" s="42">
        <v>987364782</v>
      </c>
      <c r="X12" s="42" t="s">
        <v>108</v>
      </c>
      <c r="Y12" s="42" t="s">
        <v>85</v>
      </c>
      <c r="Z12" s="42" t="s">
        <v>86</v>
      </c>
      <c r="AA12" s="42" t="s">
        <v>87</v>
      </c>
      <c r="AB12" s="42" t="s">
        <v>88</v>
      </c>
      <c r="AC12" s="42">
        <v>928928292</v>
      </c>
      <c r="AD12" s="42" t="s">
        <v>89</v>
      </c>
      <c r="AE12" s="44"/>
      <c r="AF12" s="42" t="s">
        <v>111</v>
      </c>
    </row>
    <row r="13" spans="1:32" x14ac:dyDescent="0.25">
      <c r="A13" s="43">
        <v>8</v>
      </c>
      <c r="B13" s="42">
        <v>2</v>
      </c>
      <c r="C13" s="42" t="s">
        <v>76</v>
      </c>
      <c r="D13" s="42">
        <v>11</v>
      </c>
      <c r="E13" s="42">
        <v>450</v>
      </c>
      <c r="F13" s="42">
        <v>4950</v>
      </c>
      <c r="G13" s="75" t="s">
        <v>109</v>
      </c>
      <c r="H13" s="42">
        <v>2</v>
      </c>
      <c r="I13" s="42" t="s">
        <v>84</v>
      </c>
      <c r="J13" s="42" t="s">
        <v>104</v>
      </c>
      <c r="K13" s="42" t="s">
        <v>77</v>
      </c>
      <c r="L13" s="42" t="s">
        <v>75</v>
      </c>
      <c r="M13" s="42">
        <v>450</v>
      </c>
      <c r="N13" s="42">
        <v>289</v>
      </c>
      <c r="O13" s="42" t="s">
        <v>66</v>
      </c>
      <c r="P13" s="42"/>
      <c r="Q13" s="42" t="s">
        <v>67</v>
      </c>
      <c r="R13" s="42" t="s">
        <v>59</v>
      </c>
      <c r="S13" s="42" t="s">
        <v>106</v>
      </c>
      <c r="T13" s="42" t="s">
        <v>107</v>
      </c>
      <c r="U13" s="42" t="s">
        <v>87</v>
      </c>
      <c r="V13" s="42" t="s">
        <v>75</v>
      </c>
      <c r="W13" s="42">
        <v>987364782</v>
      </c>
      <c r="X13" s="42" t="s">
        <v>108</v>
      </c>
      <c r="Y13" s="42" t="s">
        <v>85</v>
      </c>
      <c r="Z13" s="42" t="s">
        <v>86</v>
      </c>
      <c r="AA13" s="42" t="s">
        <v>87</v>
      </c>
      <c r="AB13" s="42" t="s">
        <v>88</v>
      </c>
      <c r="AC13" s="42">
        <v>928928292</v>
      </c>
      <c r="AD13" s="42" t="s">
        <v>89</v>
      </c>
      <c r="AE13" s="44"/>
      <c r="AF13" s="42" t="s">
        <v>113</v>
      </c>
    </row>
    <row r="14" spans="1:32" x14ac:dyDescent="0.25">
      <c r="A14" s="43">
        <v>9</v>
      </c>
      <c r="B14" s="42">
        <v>2</v>
      </c>
      <c r="C14" s="42" t="s">
        <v>62</v>
      </c>
      <c r="D14" s="42">
        <v>2</v>
      </c>
      <c r="E14" s="42">
        <v>4000</v>
      </c>
      <c r="F14" s="42">
        <v>8000</v>
      </c>
      <c r="G14" s="75" t="s">
        <v>109</v>
      </c>
      <c r="H14" s="42">
        <v>2</v>
      </c>
      <c r="I14" s="42" t="s">
        <v>84</v>
      </c>
      <c r="J14" s="42" t="s">
        <v>104</v>
      </c>
      <c r="K14" s="42" t="s">
        <v>63</v>
      </c>
      <c r="L14" s="42" t="s">
        <v>59</v>
      </c>
      <c r="M14" s="42">
        <v>4000</v>
      </c>
      <c r="N14" s="42">
        <v>125</v>
      </c>
      <c r="O14" s="42" t="s">
        <v>51</v>
      </c>
      <c r="P14" s="42"/>
      <c r="Q14" s="42" t="s">
        <v>52</v>
      </c>
      <c r="R14" s="42" t="s">
        <v>53</v>
      </c>
      <c r="S14" s="42" t="s">
        <v>106</v>
      </c>
      <c r="T14" s="42" t="s">
        <v>107</v>
      </c>
      <c r="U14" s="42" t="s">
        <v>87</v>
      </c>
      <c r="V14" s="42" t="s">
        <v>75</v>
      </c>
      <c r="W14" s="42">
        <v>987364782</v>
      </c>
      <c r="X14" s="42" t="s">
        <v>108</v>
      </c>
      <c r="Y14" s="42" t="s">
        <v>85</v>
      </c>
      <c r="Z14" s="42" t="s">
        <v>86</v>
      </c>
      <c r="AA14" s="42" t="s">
        <v>87</v>
      </c>
      <c r="AB14" s="42" t="s">
        <v>88</v>
      </c>
      <c r="AC14" s="42">
        <v>928928292</v>
      </c>
      <c r="AD14" s="42" t="s">
        <v>89</v>
      </c>
      <c r="AE14" s="44"/>
      <c r="AF14" s="42" t="s">
        <v>111</v>
      </c>
    </row>
    <row r="15" spans="1:32" x14ac:dyDescent="0.25">
      <c r="A15" s="43">
        <v>10</v>
      </c>
      <c r="B15" s="42">
        <v>4</v>
      </c>
      <c r="C15" s="42" t="s">
        <v>68</v>
      </c>
      <c r="D15" s="42">
        <v>2</v>
      </c>
      <c r="E15" s="42">
        <v>50000</v>
      </c>
      <c r="F15" s="42">
        <v>100000</v>
      </c>
      <c r="G15" s="75" t="s">
        <v>119</v>
      </c>
      <c r="H15" s="42">
        <v>2</v>
      </c>
      <c r="I15" s="42" t="s">
        <v>84</v>
      </c>
      <c r="J15" s="42" t="s">
        <v>104</v>
      </c>
      <c r="K15" s="42" t="s">
        <v>69</v>
      </c>
      <c r="L15" s="42" t="s">
        <v>70</v>
      </c>
      <c r="M15" s="42">
        <v>50000</v>
      </c>
      <c r="N15" s="42">
        <v>10</v>
      </c>
      <c r="O15" s="42" t="s">
        <v>66</v>
      </c>
      <c r="P15" s="42"/>
      <c r="Q15" s="42" t="s">
        <v>67</v>
      </c>
      <c r="R15" s="42" t="s">
        <v>59</v>
      </c>
      <c r="S15" s="42" t="s">
        <v>106</v>
      </c>
      <c r="T15" s="42" t="s">
        <v>107</v>
      </c>
      <c r="U15" s="42" t="s">
        <v>87</v>
      </c>
      <c r="V15" s="42" t="s">
        <v>75</v>
      </c>
      <c r="W15" s="42">
        <v>987364782</v>
      </c>
      <c r="X15" s="42" t="s">
        <v>108</v>
      </c>
      <c r="Y15" s="42" t="s">
        <v>85</v>
      </c>
      <c r="Z15" s="42" t="s">
        <v>86</v>
      </c>
      <c r="AA15" s="42" t="s">
        <v>87</v>
      </c>
      <c r="AB15" s="42" t="s">
        <v>88</v>
      </c>
      <c r="AC15" s="42">
        <v>928928292</v>
      </c>
      <c r="AD15" s="42" t="s">
        <v>31</v>
      </c>
      <c r="AE15" s="44"/>
      <c r="AF15" s="42" t="s">
        <v>111</v>
      </c>
    </row>
    <row r="16" spans="1:32" x14ac:dyDescent="0.25">
      <c r="A16" s="43">
        <v>11</v>
      </c>
      <c r="B16" s="42">
        <v>1</v>
      </c>
      <c r="C16" s="42" t="s">
        <v>57</v>
      </c>
      <c r="D16" s="42">
        <v>10</v>
      </c>
      <c r="E16" s="42">
        <v>1500</v>
      </c>
      <c r="F16" s="42">
        <v>15000</v>
      </c>
      <c r="G16" s="75" t="s">
        <v>103</v>
      </c>
      <c r="H16" s="42">
        <v>1</v>
      </c>
      <c r="I16" s="42" t="s">
        <v>90</v>
      </c>
      <c r="J16" s="42" t="s">
        <v>104</v>
      </c>
      <c r="K16" s="42" t="s">
        <v>58</v>
      </c>
      <c r="L16" s="42" t="s">
        <v>59</v>
      </c>
      <c r="M16" s="42">
        <v>1500</v>
      </c>
      <c r="N16" s="42">
        <v>164</v>
      </c>
      <c r="O16" s="42" t="s">
        <v>51</v>
      </c>
      <c r="P16" s="42"/>
      <c r="Q16" s="42" t="s">
        <v>52</v>
      </c>
      <c r="R16" s="42" t="s">
        <v>53</v>
      </c>
      <c r="S16" s="42" t="s">
        <v>100</v>
      </c>
      <c r="T16" s="42" t="s">
        <v>101</v>
      </c>
      <c r="U16" s="42" t="s">
        <v>87</v>
      </c>
      <c r="V16" s="42" t="s">
        <v>75</v>
      </c>
      <c r="W16" s="42">
        <v>983273816</v>
      </c>
      <c r="X16" s="42" t="s">
        <v>102</v>
      </c>
      <c r="Y16" s="42" t="s">
        <v>91</v>
      </c>
      <c r="Z16" s="42" t="s">
        <v>92</v>
      </c>
      <c r="AA16" s="42" t="s">
        <v>93</v>
      </c>
      <c r="AB16" s="42" t="s">
        <v>94</v>
      </c>
      <c r="AC16" s="42">
        <v>823673892</v>
      </c>
      <c r="AD16" s="42" t="s">
        <v>31</v>
      </c>
      <c r="AE16" s="44"/>
      <c r="AF16" s="42" t="s">
        <v>111</v>
      </c>
    </row>
    <row r="17" spans="1:32" x14ac:dyDescent="0.25">
      <c r="A17" s="43">
        <v>12</v>
      </c>
      <c r="B17" s="42">
        <v>1</v>
      </c>
      <c r="C17" s="42" t="s">
        <v>62</v>
      </c>
      <c r="D17" s="42">
        <v>2</v>
      </c>
      <c r="E17" s="42">
        <v>4000</v>
      </c>
      <c r="F17" s="42">
        <v>8000</v>
      </c>
      <c r="G17" s="75" t="s">
        <v>103</v>
      </c>
      <c r="H17" s="42">
        <v>1</v>
      </c>
      <c r="I17" s="42" t="s">
        <v>90</v>
      </c>
      <c r="J17" s="42" t="s">
        <v>104</v>
      </c>
      <c r="K17" s="42" t="s">
        <v>63</v>
      </c>
      <c r="L17" s="42" t="s">
        <v>59</v>
      </c>
      <c r="M17" s="42">
        <v>4000</v>
      </c>
      <c r="N17" s="42">
        <v>123</v>
      </c>
      <c r="O17" s="42" t="s">
        <v>51</v>
      </c>
      <c r="P17" s="42"/>
      <c r="Q17" s="42" t="s">
        <v>52</v>
      </c>
      <c r="R17" s="42" t="s">
        <v>53</v>
      </c>
      <c r="S17" s="42" t="s">
        <v>100</v>
      </c>
      <c r="T17" s="42" t="s">
        <v>101</v>
      </c>
      <c r="U17" s="42" t="s">
        <v>87</v>
      </c>
      <c r="V17" s="42" t="s">
        <v>75</v>
      </c>
      <c r="W17" s="42">
        <v>983273816</v>
      </c>
      <c r="X17" s="42" t="s">
        <v>102</v>
      </c>
      <c r="Y17" s="42" t="s">
        <v>91</v>
      </c>
      <c r="Z17" s="42" t="s">
        <v>92</v>
      </c>
      <c r="AA17" s="42" t="s">
        <v>93</v>
      </c>
      <c r="AB17" s="42" t="s">
        <v>94</v>
      </c>
      <c r="AC17" s="42">
        <v>823673892</v>
      </c>
      <c r="AD17" s="42" t="s">
        <v>31</v>
      </c>
      <c r="AE17" s="44"/>
      <c r="AF17" s="42" t="s">
        <v>111</v>
      </c>
    </row>
    <row r="18" spans="1:32" x14ac:dyDescent="0.25">
      <c r="A18" s="43">
        <v>13</v>
      </c>
      <c r="B18" s="42">
        <v>2</v>
      </c>
      <c r="C18" s="42" t="s">
        <v>68</v>
      </c>
      <c r="D18" s="42">
        <v>1</v>
      </c>
      <c r="E18" s="42">
        <v>50000</v>
      </c>
      <c r="F18" s="42">
        <v>50000</v>
      </c>
      <c r="G18" s="75" t="s">
        <v>109</v>
      </c>
      <c r="H18" s="42">
        <v>2</v>
      </c>
      <c r="I18" s="42" t="s">
        <v>84</v>
      </c>
      <c r="J18" s="42" t="s">
        <v>104</v>
      </c>
      <c r="K18" s="42" t="s">
        <v>69</v>
      </c>
      <c r="L18" s="42" t="s">
        <v>70</v>
      </c>
      <c r="M18" s="42">
        <v>50000</v>
      </c>
      <c r="N18" s="42">
        <v>9</v>
      </c>
      <c r="O18" s="42" t="s">
        <v>66</v>
      </c>
      <c r="P18" s="42"/>
      <c r="Q18" s="42" t="s">
        <v>67</v>
      </c>
      <c r="R18" s="42" t="s">
        <v>59</v>
      </c>
      <c r="S18" s="42" t="s">
        <v>106</v>
      </c>
      <c r="T18" s="42" t="s">
        <v>107</v>
      </c>
      <c r="U18" s="42" t="s">
        <v>87</v>
      </c>
      <c r="V18" s="42" t="s">
        <v>75</v>
      </c>
      <c r="W18" s="42">
        <v>987364782</v>
      </c>
      <c r="X18" s="42" t="s">
        <v>108</v>
      </c>
      <c r="Y18" s="42" t="s">
        <v>85</v>
      </c>
      <c r="Z18" s="42" t="s">
        <v>86</v>
      </c>
      <c r="AA18" s="42" t="s">
        <v>87</v>
      </c>
      <c r="AB18" s="42" t="s">
        <v>88</v>
      </c>
      <c r="AC18" s="42">
        <v>928928292</v>
      </c>
      <c r="AD18" s="42" t="s">
        <v>31</v>
      </c>
      <c r="AE18" s="44"/>
      <c r="AF18" s="42" t="s">
        <v>111</v>
      </c>
    </row>
    <row r="19" spans="1:32" x14ac:dyDescent="0.25">
      <c r="A19" s="43">
        <v>14</v>
      </c>
      <c r="B19" s="42">
        <v>5</v>
      </c>
      <c r="C19" s="42" t="s">
        <v>128</v>
      </c>
      <c r="D19" s="42">
        <v>2</v>
      </c>
      <c r="E19" s="42">
        <v>5000</v>
      </c>
      <c r="F19" s="42">
        <v>10000</v>
      </c>
      <c r="G19" s="75" t="s">
        <v>147</v>
      </c>
      <c r="H19" s="42">
        <v>3</v>
      </c>
      <c r="I19" s="42" t="s">
        <v>121</v>
      </c>
      <c r="J19" s="42" t="s">
        <v>104</v>
      </c>
      <c r="K19" s="42" t="s">
        <v>129</v>
      </c>
      <c r="L19" s="42" t="s">
        <v>75</v>
      </c>
      <c r="M19" s="42">
        <v>5000</v>
      </c>
      <c r="N19" s="42">
        <v>98</v>
      </c>
      <c r="O19" s="42" t="s">
        <v>126</v>
      </c>
      <c r="P19" s="42"/>
      <c r="Q19" s="42" t="s">
        <v>127</v>
      </c>
      <c r="R19" s="42" t="s">
        <v>75</v>
      </c>
      <c r="S19" s="42" t="s">
        <v>140</v>
      </c>
      <c r="T19" s="42" t="s">
        <v>141</v>
      </c>
      <c r="U19" s="42" t="s">
        <v>93</v>
      </c>
      <c r="V19" s="42" t="s">
        <v>75</v>
      </c>
      <c r="W19" s="42">
        <v>983746281</v>
      </c>
      <c r="X19" s="42" t="s">
        <v>142</v>
      </c>
      <c r="Y19" s="42" t="s">
        <v>122</v>
      </c>
      <c r="Z19" s="42" t="s">
        <v>123</v>
      </c>
      <c r="AA19" s="42" t="s">
        <v>87</v>
      </c>
      <c r="AB19" s="42" t="s">
        <v>124</v>
      </c>
      <c r="AC19" s="42">
        <v>998267382</v>
      </c>
      <c r="AD19" s="42" t="s">
        <v>31</v>
      </c>
      <c r="AE19" s="44"/>
      <c r="AF19" s="42" t="s">
        <v>111</v>
      </c>
    </row>
    <row r="20" spans="1:32" x14ac:dyDescent="0.25">
      <c r="A20" s="43">
        <v>15</v>
      </c>
      <c r="B20" s="42">
        <v>5</v>
      </c>
      <c r="C20" s="42" t="s">
        <v>130</v>
      </c>
      <c r="D20" s="42">
        <v>2</v>
      </c>
      <c r="E20" s="42">
        <v>20000</v>
      </c>
      <c r="F20" s="42">
        <v>40000</v>
      </c>
      <c r="G20" s="75" t="s">
        <v>147</v>
      </c>
      <c r="H20" s="42">
        <v>3</v>
      </c>
      <c r="I20" s="42" t="s">
        <v>121</v>
      </c>
      <c r="J20" s="42" t="s">
        <v>104</v>
      </c>
      <c r="K20" s="42" t="s">
        <v>131</v>
      </c>
      <c r="L20" s="42" t="s">
        <v>75</v>
      </c>
      <c r="M20" s="42">
        <v>20000</v>
      </c>
      <c r="N20" s="42">
        <v>48</v>
      </c>
      <c r="O20" s="42" t="s">
        <v>126</v>
      </c>
      <c r="P20" s="42"/>
      <c r="Q20" s="42" t="s">
        <v>127</v>
      </c>
      <c r="R20" s="42" t="s">
        <v>75</v>
      </c>
      <c r="S20" s="42" t="s">
        <v>140</v>
      </c>
      <c r="T20" s="42" t="s">
        <v>141</v>
      </c>
      <c r="U20" s="42" t="s">
        <v>93</v>
      </c>
      <c r="V20" s="42" t="s">
        <v>75</v>
      </c>
      <c r="W20" s="42">
        <v>983746281</v>
      </c>
      <c r="X20" s="42" t="s">
        <v>142</v>
      </c>
      <c r="Y20" s="42" t="s">
        <v>122</v>
      </c>
      <c r="Z20" s="42" t="s">
        <v>123</v>
      </c>
      <c r="AA20" s="42" t="s">
        <v>87</v>
      </c>
      <c r="AB20" s="42" t="s">
        <v>124</v>
      </c>
      <c r="AC20" s="42">
        <v>998267382</v>
      </c>
      <c r="AD20" s="42" t="s">
        <v>31</v>
      </c>
      <c r="AE20" s="44"/>
      <c r="AF20" s="42" t="s">
        <v>111</v>
      </c>
    </row>
    <row r="21" spans="1:32" hidden="1" x14ac:dyDescent="0.25">
      <c r="A21" s="43">
        <v>16</v>
      </c>
      <c r="B21" s="42"/>
      <c r="C21" s="42" t="s">
        <v>136</v>
      </c>
      <c r="D21" s="42">
        <v>3</v>
      </c>
      <c r="E21" s="42">
        <v>50000</v>
      </c>
      <c r="F21" s="42">
        <v>150000</v>
      </c>
      <c r="G21" s="42"/>
      <c r="H21" s="42"/>
      <c r="I21" s="42"/>
      <c r="J21" s="42"/>
      <c r="K21" s="42" t="s">
        <v>137</v>
      </c>
      <c r="L21" s="42" t="s">
        <v>75</v>
      </c>
      <c r="M21" s="42">
        <v>50000</v>
      </c>
      <c r="N21" s="42">
        <v>37</v>
      </c>
      <c r="O21" s="42" t="s">
        <v>134</v>
      </c>
      <c r="P21" s="42"/>
      <c r="Q21" s="42" t="s">
        <v>135</v>
      </c>
      <c r="R21" s="42" t="s">
        <v>75</v>
      </c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4"/>
      <c r="AF21" s="42" t="s">
        <v>111</v>
      </c>
    </row>
    <row r="22" spans="1:32" hidden="1" x14ac:dyDescent="0.25">
      <c r="A22" s="43">
        <v>17</v>
      </c>
      <c r="B22" s="42"/>
      <c r="C22" s="42" t="s">
        <v>132</v>
      </c>
      <c r="D22" s="42">
        <v>4</v>
      </c>
      <c r="E22" s="42">
        <v>50000</v>
      </c>
      <c r="F22" s="42">
        <v>200000</v>
      </c>
      <c r="G22" s="42"/>
      <c r="H22" s="42"/>
      <c r="I22" s="42"/>
      <c r="J22" s="42"/>
      <c r="K22" s="42" t="s">
        <v>133</v>
      </c>
      <c r="L22" s="42" t="s">
        <v>75</v>
      </c>
      <c r="M22" s="42">
        <v>50000</v>
      </c>
      <c r="N22" s="42">
        <v>16</v>
      </c>
      <c r="O22" s="42" t="s">
        <v>126</v>
      </c>
      <c r="P22" s="42"/>
      <c r="Q22" s="42" t="s">
        <v>127</v>
      </c>
      <c r="R22" s="42" t="s">
        <v>75</v>
      </c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4"/>
      <c r="AF22" s="42" t="s">
        <v>111</v>
      </c>
    </row>
    <row r="23" spans="1:32" x14ac:dyDescent="0.25">
      <c r="A23" s="43">
        <v>18</v>
      </c>
      <c r="B23" s="42">
        <v>5</v>
      </c>
      <c r="C23" s="42" t="s">
        <v>132</v>
      </c>
      <c r="D23" s="42">
        <v>2</v>
      </c>
      <c r="E23" s="42">
        <v>50000</v>
      </c>
      <c r="F23" s="42">
        <v>100000</v>
      </c>
      <c r="G23" s="75" t="s">
        <v>147</v>
      </c>
      <c r="H23" s="42">
        <v>3</v>
      </c>
      <c r="I23" s="42" t="s">
        <v>121</v>
      </c>
      <c r="J23" s="42" t="s">
        <v>104</v>
      </c>
      <c r="K23" s="42" t="s">
        <v>133</v>
      </c>
      <c r="L23" s="42" t="s">
        <v>75</v>
      </c>
      <c r="M23" s="42">
        <v>50000</v>
      </c>
      <c r="N23" s="42">
        <v>14</v>
      </c>
      <c r="O23" s="42" t="s">
        <v>126</v>
      </c>
      <c r="P23" s="42"/>
      <c r="Q23" s="42" t="s">
        <v>127</v>
      </c>
      <c r="R23" s="42" t="s">
        <v>75</v>
      </c>
      <c r="S23" s="42" t="s">
        <v>140</v>
      </c>
      <c r="T23" s="42" t="s">
        <v>141</v>
      </c>
      <c r="U23" s="42" t="s">
        <v>93</v>
      </c>
      <c r="V23" s="42" t="s">
        <v>75</v>
      </c>
      <c r="W23" s="42">
        <v>983746281</v>
      </c>
      <c r="X23" s="42" t="s">
        <v>142</v>
      </c>
      <c r="Y23" s="42" t="s">
        <v>122</v>
      </c>
      <c r="Z23" s="42" t="s">
        <v>123</v>
      </c>
      <c r="AA23" s="42" t="s">
        <v>87</v>
      </c>
      <c r="AB23" s="42" t="s">
        <v>124</v>
      </c>
      <c r="AC23" s="42">
        <v>998267382</v>
      </c>
      <c r="AD23" s="42" t="s">
        <v>31</v>
      </c>
      <c r="AE23" s="44"/>
      <c r="AF23" s="42" t="s">
        <v>111</v>
      </c>
    </row>
    <row r="24" spans="1:32" x14ac:dyDescent="0.25">
      <c r="A24" s="43">
        <v>17</v>
      </c>
      <c r="B24" s="42">
        <v>5</v>
      </c>
      <c r="C24" s="42" t="s">
        <v>132</v>
      </c>
      <c r="D24" s="42">
        <v>4</v>
      </c>
      <c r="E24" s="42">
        <v>50000</v>
      </c>
      <c r="F24" s="42">
        <v>200000</v>
      </c>
      <c r="G24" s="75" t="s">
        <v>147</v>
      </c>
      <c r="H24" s="42">
        <v>3</v>
      </c>
      <c r="I24" s="42" t="s">
        <v>121</v>
      </c>
      <c r="J24" s="42" t="s">
        <v>104</v>
      </c>
      <c r="K24" s="42" t="s">
        <v>133</v>
      </c>
      <c r="L24" s="42" t="s">
        <v>75</v>
      </c>
      <c r="M24" s="42">
        <v>50000</v>
      </c>
      <c r="N24" s="42">
        <v>14</v>
      </c>
      <c r="O24" s="42" t="s">
        <v>126</v>
      </c>
      <c r="P24" s="42"/>
      <c r="Q24" s="42" t="s">
        <v>127</v>
      </c>
      <c r="R24" s="42" t="s">
        <v>75</v>
      </c>
      <c r="S24" s="42" t="s">
        <v>140</v>
      </c>
      <c r="T24" s="42" t="s">
        <v>141</v>
      </c>
      <c r="U24" s="42" t="s">
        <v>93</v>
      </c>
      <c r="V24" s="42" t="s">
        <v>75</v>
      </c>
      <c r="W24" s="42">
        <v>983746281</v>
      </c>
      <c r="X24" s="42" t="s">
        <v>142</v>
      </c>
      <c r="Y24" s="42" t="s">
        <v>122</v>
      </c>
      <c r="Z24" s="42" t="s">
        <v>123</v>
      </c>
      <c r="AA24" s="42" t="s">
        <v>87</v>
      </c>
      <c r="AB24" s="42" t="s">
        <v>124</v>
      </c>
      <c r="AC24" s="42">
        <v>998267382</v>
      </c>
      <c r="AD24" s="42" t="s">
        <v>31</v>
      </c>
      <c r="AE24" s="44"/>
      <c r="AF24" s="42" t="s">
        <v>113</v>
      </c>
    </row>
    <row r="25" spans="1:32" x14ac:dyDescent="0.25">
      <c r="A25" s="43">
        <v>19</v>
      </c>
      <c r="B25" s="42">
        <v>5</v>
      </c>
      <c r="C25" s="42" t="s">
        <v>138</v>
      </c>
      <c r="D25" s="42">
        <v>2</v>
      </c>
      <c r="E25" s="42">
        <v>200000</v>
      </c>
      <c r="F25" s="42">
        <v>400000</v>
      </c>
      <c r="G25" s="75" t="s">
        <v>147</v>
      </c>
      <c r="H25" s="42">
        <v>3</v>
      </c>
      <c r="I25" s="42" t="s">
        <v>121</v>
      </c>
      <c r="J25" s="42" t="s">
        <v>104</v>
      </c>
      <c r="K25" s="42" t="s">
        <v>139</v>
      </c>
      <c r="L25" s="42" t="s">
        <v>75</v>
      </c>
      <c r="M25" s="42">
        <v>200000</v>
      </c>
      <c r="N25" s="42">
        <v>18</v>
      </c>
      <c r="O25" s="42" t="s">
        <v>134</v>
      </c>
      <c r="P25" s="42"/>
      <c r="Q25" s="42" t="s">
        <v>135</v>
      </c>
      <c r="R25" s="42" t="s">
        <v>75</v>
      </c>
      <c r="S25" s="42" t="s">
        <v>140</v>
      </c>
      <c r="T25" s="42" t="s">
        <v>141</v>
      </c>
      <c r="U25" s="42" t="s">
        <v>93</v>
      </c>
      <c r="V25" s="42" t="s">
        <v>75</v>
      </c>
      <c r="W25" s="42">
        <v>983746281</v>
      </c>
      <c r="X25" s="42" t="s">
        <v>142</v>
      </c>
      <c r="Y25" s="42" t="s">
        <v>122</v>
      </c>
      <c r="Z25" s="42" t="s">
        <v>123</v>
      </c>
      <c r="AA25" s="42" t="s">
        <v>87</v>
      </c>
      <c r="AB25" s="42" t="s">
        <v>124</v>
      </c>
      <c r="AC25" s="42">
        <v>998267382</v>
      </c>
      <c r="AD25" s="42" t="s">
        <v>31</v>
      </c>
      <c r="AE25" s="44"/>
      <c r="AF25" s="42" t="s">
        <v>111</v>
      </c>
    </row>
    <row r="26" spans="1:32" x14ac:dyDescent="0.25">
      <c r="A26" s="43">
        <v>20</v>
      </c>
      <c r="B26" s="42">
        <v>7</v>
      </c>
      <c r="C26" s="42" t="s">
        <v>130</v>
      </c>
      <c r="D26" s="42">
        <v>3</v>
      </c>
      <c r="E26" s="42">
        <v>20000</v>
      </c>
      <c r="F26" s="42">
        <v>60000</v>
      </c>
      <c r="G26" s="75" t="s">
        <v>148</v>
      </c>
      <c r="H26" s="42">
        <v>4</v>
      </c>
      <c r="I26" s="42" t="s">
        <v>121</v>
      </c>
      <c r="J26" s="42" t="s">
        <v>104</v>
      </c>
      <c r="K26" s="42" t="s">
        <v>131</v>
      </c>
      <c r="L26" s="42" t="s">
        <v>75</v>
      </c>
      <c r="M26" s="42">
        <v>20000</v>
      </c>
      <c r="N26" s="42">
        <v>45</v>
      </c>
      <c r="O26" s="42" t="s">
        <v>126</v>
      </c>
      <c r="P26" s="42"/>
      <c r="Q26" s="42" t="s">
        <v>127</v>
      </c>
      <c r="R26" s="42" t="s">
        <v>75</v>
      </c>
      <c r="S26" s="42" t="s">
        <v>144</v>
      </c>
      <c r="T26" s="42" t="s">
        <v>145</v>
      </c>
      <c r="U26" s="42" t="s">
        <v>93</v>
      </c>
      <c r="V26" s="42" t="s">
        <v>75</v>
      </c>
      <c r="W26" s="42">
        <v>839203923</v>
      </c>
      <c r="X26" s="42" t="s">
        <v>146</v>
      </c>
      <c r="Y26" s="42" t="s">
        <v>122</v>
      </c>
      <c r="Z26" s="42" t="s">
        <v>123</v>
      </c>
      <c r="AA26" s="42" t="s">
        <v>87</v>
      </c>
      <c r="AB26" s="42" t="s">
        <v>124</v>
      </c>
      <c r="AC26" s="42">
        <v>998267382</v>
      </c>
      <c r="AD26" s="42" t="s">
        <v>31</v>
      </c>
      <c r="AE26" s="44"/>
      <c r="AF26" s="42" t="s">
        <v>111</v>
      </c>
    </row>
    <row r="27" spans="1:32" x14ac:dyDescent="0.25">
      <c r="A27" s="43">
        <v>21</v>
      </c>
      <c r="B27" s="42">
        <v>7</v>
      </c>
      <c r="C27" s="42" t="s">
        <v>132</v>
      </c>
      <c r="D27" s="42">
        <v>1</v>
      </c>
      <c r="E27" s="42">
        <v>50000</v>
      </c>
      <c r="F27" s="42">
        <v>50000</v>
      </c>
      <c r="G27" s="75" t="s">
        <v>148</v>
      </c>
      <c r="H27" s="42">
        <v>4</v>
      </c>
      <c r="I27" s="42" t="s">
        <v>121</v>
      </c>
      <c r="J27" s="42" t="s">
        <v>104</v>
      </c>
      <c r="K27" s="42" t="s">
        <v>133</v>
      </c>
      <c r="L27" s="42" t="s">
        <v>75</v>
      </c>
      <c r="M27" s="42">
        <v>50000</v>
      </c>
      <c r="N27" s="42">
        <v>13</v>
      </c>
      <c r="O27" s="42" t="s">
        <v>126</v>
      </c>
      <c r="P27" s="42"/>
      <c r="Q27" s="42" t="s">
        <v>127</v>
      </c>
      <c r="R27" s="42" t="s">
        <v>75</v>
      </c>
      <c r="S27" s="42" t="s">
        <v>144</v>
      </c>
      <c r="T27" s="42" t="s">
        <v>145</v>
      </c>
      <c r="U27" s="42" t="s">
        <v>93</v>
      </c>
      <c r="V27" s="42" t="s">
        <v>75</v>
      </c>
      <c r="W27" s="42">
        <v>839203923</v>
      </c>
      <c r="X27" s="42" t="s">
        <v>146</v>
      </c>
      <c r="Y27" s="42" t="s">
        <v>122</v>
      </c>
      <c r="Z27" s="42" t="s">
        <v>123</v>
      </c>
      <c r="AA27" s="42" t="s">
        <v>87</v>
      </c>
      <c r="AB27" s="42" t="s">
        <v>124</v>
      </c>
      <c r="AC27" s="42">
        <v>998267382</v>
      </c>
      <c r="AD27" s="42" t="s">
        <v>31</v>
      </c>
      <c r="AE27" s="44"/>
      <c r="AF27" s="42" t="s">
        <v>111</v>
      </c>
    </row>
    <row r="28" spans="1:32" x14ac:dyDescent="0.25">
      <c r="A28" s="43">
        <v>22</v>
      </c>
      <c r="B28" s="42">
        <v>7</v>
      </c>
      <c r="C28" s="42" t="s">
        <v>136</v>
      </c>
      <c r="D28" s="42">
        <v>3</v>
      </c>
      <c r="E28" s="42">
        <v>50000</v>
      </c>
      <c r="F28" s="42">
        <v>150000</v>
      </c>
      <c r="G28" s="75" t="s">
        <v>148</v>
      </c>
      <c r="H28" s="42">
        <v>4</v>
      </c>
      <c r="I28" s="42" t="s">
        <v>121</v>
      </c>
      <c r="J28" s="42" t="s">
        <v>104</v>
      </c>
      <c r="K28" s="42" t="s">
        <v>137</v>
      </c>
      <c r="L28" s="42" t="s">
        <v>75</v>
      </c>
      <c r="M28" s="42">
        <v>50000</v>
      </c>
      <c r="N28" s="42">
        <v>34</v>
      </c>
      <c r="O28" s="42" t="s">
        <v>134</v>
      </c>
      <c r="P28" s="42"/>
      <c r="Q28" s="42" t="s">
        <v>135</v>
      </c>
      <c r="R28" s="42" t="s">
        <v>75</v>
      </c>
      <c r="S28" s="42" t="s">
        <v>144</v>
      </c>
      <c r="T28" s="42" t="s">
        <v>145</v>
      </c>
      <c r="U28" s="42" t="s">
        <v>93</v>
      </c>
      <c r="V28" s="42" t="s">
        <v>75</v>
      </c>
      <c r="W28" s="42">
        <v>839203923</v>
      </c>
      <c r="X28" s="42" t="s">
        <v>146</v>
      </c>
      <c r="Y28" s="42" t="s">
        <v>122</v>
      </c>
      <c r="Z28" s="42" t="s">
        <v>123</v>
      </c>
      <c r="AA28" s="42" t="s">
        <v>87</v>
      </c>
      <c r="AB28" s="42" t="s">
        <v>124</v>
      </c>
      <c r="AC28" s="42">
        <v>998267382</v>
      </c>
      <c r="AD28" s="42" t="s">
        <v>31</v>
      </c>
      <c r="AE28" s="44"/>
      <c r="AF28" s="42" t="s">
        <v>111</v>
      </c>
    </row>
    <row r="29" spans="1:32" x14ac:dyDescent="0.25">
      <c r="A29" s="43">
        <v>23</v>
      </c>
      <c r="B29" s="42">
        <v>7</v>
      </c>
      <c r="C29" s="42" t="s">
        <v>138</v>
      </c>
      <c r="D29" s="42">
        <v>4</v>
      </c>
      <c r="E29" s="42">
        <v>200000</v>
      </c>
      <c r="F29" s="42">
        <v>800000</v>
      </c>
      <c r="G29" s="75" t="s">
        <v>148</v>
      </c>
      <c r="H29" s="42">
        <v>4</v>
      </c>
      <c r="I29" s="42" t="s">
        <v>121</v>
      </c>
      <c r="J29" s="42" t="s">
        <v>104</v>
      </c>
      <c r="K29" s="42" t="s">
        <v>139</v>
      </c>
      <c r="L29" s="42" t="s">
        <v>75</v>
      </c>
      <c r="M29" s="42">
        <v>200000</v>
      </c>
      <c r="N29" s="42">
        <v>14</v>
      </c>
      <c r="O29" s="42" t="s">
        <v>134</v>
      </c>
      <c r="P29" s="42"/>
      <c r="Q29" s="42" t="s">
        <v>135</v>
      </c>
      <c r="R29" s="42" t="s">
        <v>75</v>
      </c>
      <c r="S29" s="42" t="s">
        <v>144</v>
      </c>
      <c r="T29" s="42" t="s">
        <v>145</v>
      </c>
      <c r="U29" s="42" t="s">
        <v>93</v>
      </c>
      <c r="V29" s="42" t="s">
        <v>75</v>
      </c>
      <c r="W29" s="42">
        <v>839203923</v>
      </c>
      <c r="X29" s="42" t="s">
        <v>146</v>
      </c>
      <c r="Y29" s="42" t="s">
        <v>122</v>
      </c>
      <c r="Z29" s="42" t="s">
        <v>123</v>
      </c>
      <c r="AA29" s="42" t="s">
        <v>87</v>
      </c>
      <c r="AB29" s="42" t="s">
        <v>124</v>
      </c>
      <c r="AC29" s="42">
        <v>998267382</v>
      </c>
      <c r="AD29" s="42" t="s">
        <v>31</v>
      </c>
      <c r="AE29" s="44"/>
      <c r="AF29" s="42" t="s">
        <v>111</v>
      </c>
    </row>
    <row r="30" spans="1:32" hidden="1" x14ac:dyDescent="0.25">
      <c r="A30" s="43">
        <v>6</v>
      </c>
      <c r="B30" s="42"/>
      <c r="C30" s="42" t="s">
        <v>68</v>
      </c>
      <c r="D30" s="42">
        <v>2</v>
      </c>
      <c r="E30" s="42">
        <v>50000</v>
      </c>
      <c r="F30" s="42">
        <v>100000</v>
      </c>
      <c r="G30" s="42"/>
      <c r="H30" s="42"/>
      <c r="I30" s="42"/>
      <c r="J30" s="42"/>
      <c r="K30" s="42" t="s">
        <v>69</v>
      </c>
      <c r="L30" s="42" t="s">
        <v>70</v>
      </c>
      <c r="M30" s="42">
        <v>50000</v>
      </c>
      <c r="N30" s="42">
        <v>9</v>
      </c>
      <c r="O30" s="42" t="s">
        <v>66</v>
      </c>
      <c r="P30" s="42"/>
      <c r="Q30" s="42" t="s">
        <v>67</v>
      </c>
      <c r="R30" s="42" t="s">
        <v>59</v>
      </c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4"/>
      <c r="AF30" s="42" t="s">
        <v>113</v>
      </c>
    </row>
    <row r="31" spans="1:32" x14ac:dyDescent="0.25">
      <c r="A31" s="43">
        <v>7</v>
      </c>
      <c r="B31" s="42">
        <v>7</v>
      </c>
      <c r="C31" s="42" t="s">
        <v>68</v>
      </c>
      <c r="D31" s="42">
        <v>1</v>
      </c>
      <c r="E31" s="42">
        <v>50000</v>
      </c>
      <c r="F31" s="42">
        <v>50000</v>
      </c>
      <c r="G31" s="75" t="s">
        <v>148</v>
      </c>
      <c r="H31" s="42">
        <v>4</v>
      </c>
      <c r="I31" s="42" t="s">
        <v>121</v>
      </c>
      <c r="J31" s="42" t="s">
        <v>104</v>
      </c>
      <c r="K31" s="42" t="s">
        <v>69</v>
      </c>
      <c r="L31" s="42" t="s">
        <v>70</v>
      </c>
      <c r="M31" s="42">
        <v>50000</v>
      </c>
      <c r="N31" s="42">
        <v>9</v>
      </c>
      <c r="O31" s="42" t="s">
        <v>66</v>
      </c>
      <c r="P31" s="42"/>
      <c r="Q31" s="42" t="s">
        <v>67</v>
      </c>
      <c r="R31" s="42" t="s">
        <v>59</v>
      </c>
      <c r="S31" s="42" t="s">
        <v>144</v>
      </c>
      <c r="T31" s="42" t="s">
        <v>145</v>
      </c>
      <c r="U31" s="42" t="s">
        <v>93</v>
      </c>
      <c r="V31" s="42" t="s">
        <v>75</v>
      </c>
      <c r="W31" s="42">
        <v>839203923</v>
      </c>
      <c r="X31" s="42" t="s">
        <v>146</v>
      </c>
      <c r="Y31" s="42" t="s">
        <v>122</v>
      </c>
      <c r="Z31" s="42" t="s">
        <v>123</v>
      </c>
      <c r="AA31" s="42" t="s">
        <v>87</v>
      </c>
      <c r="AB31" s="42" t="s">
        <v>124</v>
      </c>
      <c r="AC31" s="42">
        <v>998267382</v>
      </c>
      <c r="AD31" s="42" t="s">
        <v>31</v>
      </c>
      <c r="AE31" s="44"/>
      <c r="AF31" s="42" t="s">
        <v>113</v>
      </c>
    </row>
    <row r="32" spans="1:32" x14ac:dyDescent="0.25">
      <c r="A32" s="43">
        <v>16</v>
      </c>
      <c r="B32" s="42">
        <v>7</v>
      </c>
      <c r="C32" s="42" t="s">
        <v>136</v>
      </c>
      <c r="D32" s="42">
        <v>3</v>
      </c>
      <c r="E32" s="42">
        <v>50000</v>
      </c>
      <c r="F32" s="42">
        <v>150000</v>
      </c>
      <c r="G32" s="75" t="s">
        <v>148</v>
      </c>
      <c r="H32" s="42">
        <v>4</v>
      </c>
      <c r="I32" s="42" t="s">
        <v>121</v>
      </c>
      <c r="J32" s="42" t="s">
        <v>104</v>
      </c>
      <c r="K32" s="42" t="s">
        <v>137</v>
      </c>
      <c r="L32" s="42" t="s">
        <v>75</v>
      </c>
      <c r="M32" s="42">
        <v>50000</v>
      </c>
      <c r="N32" s="42">
        <v>34</v>
      </c>
      <c r="O32" s="42" t="s">
        <v>134</v>
      </c>
      <c r="P32" s="42"/>
      <c r="Q32" s="42" t="s">
        <v>135</v>
      </c>
      <c r="R32" s="42" t="s">
        <v>75</v>
      </c>
      <c r="S32" s="42" t="s">
        <v>144</v>
      </c>
      <c r="T32" s="42" t="s">
        <v>145</v>
      </c>
      <c r="U32" s="42" t="s">
        <v>93</v>
      </c>
      <c r="V32" s="42" t="s">
        <v>75</v>
      </c>
      <c r="W32" s="42">
        <v>839203923</v>
      </c>
      <c r="X32" s="42" t="s">
        <v>146</v>
      </c>
      <c r="Y32" s="42" t="s">
        <v>122</v>
      </c>
      <c r="Z32" s="42" t="s">
        <v>123</v>
      </c>
      <c r="AA32" s="42" t="s">
        <v>87</v>
      </c>
      <c r="AB32" s="42" t="s">
        <v>124</v>
      </c>
      <c r="AC32" s="42">
        <v>998267382</v>
      </c>
      <c r="AD32" s="42" t="s">
        <v>31</v>
      </c>
      <c r="AE32" s="44"/>
      <c r="AF32" s="42" t="s">
        <v>113</v>
      </c>
    </row>
    <row r="33" spans="1:32" x14ac:dyDescent="0.25">
      <c r="A33" s="43">
        <v>24</v>
      </c>
      <c r="B33" s="42">
        <v>7</v>
      </c>
      <c r="C33" s="42" t="s">
        <v>138</v>
      </c>
      <c r="D33" s="42">
        <v>1</v>
      </c>
      <c r="E33" s="42">
        <v>200000</v>
      </c>
      <c r="F33" s="42">
        <v>200000</v>
      </c>
      <c r="G33" s="75" t="s">
        <v>148</v>
      </c>
      <c r="H33" s="42">
        <v>4</v>
      </c>
      <c r="I33" s="42" t="s">
        <v>121</v>
      </c>
      <c r="J33" s="42" t="s">
        <v>104</v>
      </c>
      <c r="K33" s="42" t="s">
        <v>139</v>
      </c>
      <c r="L33" s="42" t="s">
        <v>75</v>
      </c>
      <c r="M33" s="42">
        <v>200000</v>
      </c>
      <c r="N33" s="42">
        <v>13</v>
      </c>
      <c r="O33" s="42" t="s">
        <v>134</v>
      </c>
      <c r="P33" s="42"/>
      <c r="Q33" s="42" t="s">
        <v>135</v>
      </c>
      <c r="R33" s="42" t="s">
        <v>75</v>
      </c>
      <c r="S33" s="42" t="s">
        <v>144</v>
      </c>
      <c r="T33" s="42" t="s">
        <v>145</v>
      </c>
      <c r="U33" s="42" t="s">
        <v>93</v>
      </c>
      <c r="V33" s="42" t="s">
        <v>75</v>
      </c>
      <c r="W33" s="42">
        <v>839203923</v>
      </c>
      <c r="X33" s="42" t="s">
        <v>146</v>
      </c>
      <c r="Y33" s="42" t="s">
        <v>122</v>
      </c>
      <c r="Z33" s="42" t="s">
        <v>123</v>
      </c>
      <c r="AA33" s="42" t="s">
        <v>87</v>
      </c>
      <c r="AB33" s="42" t="s">
        <v>124</v>
      </c>
      <c r="AC33" s="42">
        <v>998267382</v>
      </c>
      <c r="AD33" s="42" t="s">
        <v>31</v>
      </c>
      <c r="AE33" s="44"/>
      <c r="AF33" s="42" t="s">
        <v>111</v>
      </c>
    </row>
    <row r="34" spans="1:32" x14ac:dyDescent="0.25">
      <c r="A34" s="43">
        <v>25</v>
      </c>
      <c r="B34" s="42">
        <v>8</v>
      </c>
      <c r="C34" s="42" t="s">
        <v>54</v>
      </c>
      <c r="D34" s="42">
        <v>3</v>
      </c>
      <c r="E34" s="42">
        <v>1000</v>
      </c>
      <c r="F34" s="42">
        <v>3000</v>
      </c>
      <c r="G34" s="75" t="s">
        <v>153</v>
      </c>
      <c r="H34" s="42">
        <v>7</v>
      </c>
      <c r="I34" s="42" t="s">
        <v>95</v>
      </c>
      <c r="J34" s="42" t="s">
        <v>104</v>
      </c>
      <c r="K34" s="42" t="s">
        <v>55</v>
      </c>
      <c r="L34" s="42" t="s">
        <v>56</v>
      </c>
      <c r="M34" s="42">
        <v>1000</v>
      </c>
      <c r="N34" s="42">
        <v>137</v>
      </c>
      <c r="O34" s="42" t="s">
        <v>51</v>
      </c>
      <c r="P34" s="42"/>
      <c r="Q34" s="42" t="s">
        <v>52</v>
      </c>
      <c r="R34" s="42" t="s">
        <v>53</v>
      </c>
      <c r="S34" s="42" t="s">
        <v>150</v>
      </c>
      <c r="T34" s="42" t="s">
        <v>151</v>
      </c>
      <c r="U34" s="42" t="s">
        <v>93</v>
      </c>
      <c r="V34" s="42" t="s">
        <v>75</v>
      </c>
      <c r="W34" s="42">
        <v>817283928</v>
      </c>
      <c r="X34" s="42" t="s">
        <v>152</v>
      </c>
      <c r="Y34" s="42" t="s">
        <v>96</v>
      </c>
      <c r="Z34" s="42" t="s">
        <v>97</v>
      </c>
      <c r="AA34" s="42" t="s">
        <v>93</v>
      </c>
      <c r="AB34" s="42" t="s">
        <v>98</v>
      </c>
      <c r="AC34" s="42">
        <v>812598453</v>
      </c>
      <c r="AD34" s="42" t="s">
        <v>31</v>
      </c>
      <c r="AE34" s="44"/>
      <c r="AF34" s="42" t="s">
        <v>111</v>
      </c>
    </row>
    <row r="35" spans="1:32" x14ac:dyDescent="0.25">
      <c r="A35" s="43">
        <v>26</v>
      </c>
      <c r="B35" s="42">
        <v>4</v>
      </c>
      <c r="C35" s="42" t="s">
        <v>76</v>
      </c>
      <c r="D35" s="42">
        <v>3</v>
      </c>
      <c r="E35" s="42">
        <v>450</v>
      </c>
      <c r="F35" s="42">
        <v>1350</v>
      </c>
      <c r="G35" s="75" t="s">
        <v>119</v>
      </c>
      <c r="H35" s="42">
        <v>2</v>
      </c>
      <c r="I35" s="42" t="s">
        <v>84</v>
      </c>
      <c r="J35" s="42" t="s">
        <v>104</v>
      </c>
      <c r="K35" s="42" t="s">
        <v>77</v>
      </c>
      <c r="L35" s="42" t="s">
        <v>75</v>
      </c>
      <c r="M35" s="42">
        <v>450</v>
      </c>
      <c r="N35" s="42">
        <v>286</v>
      </c>
      <c r="O35" s="42" t="s">
        <v>66</v>
      </c>
      <c r="P35" s="42"/>
      <c r="Q35" s="42" t="s">
        <v>67</v>
      </c>
      <c r="R35" s="42" t="s">
        <v>59</v>
      </c>
      <c r="S35" s="42" t="s">
        <v>106</v>
      </c>
      <c r="T35" s="42" t="s">
        <v>107</v>
      </c>
      <c r="U35" s="42" t="s">
        <v>87</v>
      </c>
      <c r="V35" s="42" t="s">
        <v>75</v>
      </c>
      <c r="W35" s="42">
        <v>987364782</v>
      </c>
      <c r="X35" s="42" t="s">
        <v>108</v>
      </c>
      <c r="Y35" s="42" t="s">
        <v>85</v>
      </c>
      <c r="Z35" s="42" t="s">
        <v>86</v>
      </c>
      <c r="AA35" s="42" t="s">
        <v>87</v>
      </c>
      <c r="AB35" s="42" t="s">
        <v>88</v>
      </c>
      <c r="AC35" s="42">
        <v>928928292</v>
      </c>
      <c r="AD35" s="42" t="s">
        <v>31</v>
      </c>
      <c r="AE35" s="44"/>
      <c r="AF35" s="42" t="s">
        <v>111</v>
      </c>
    </row>
    <row r="36" spans="1:32" x14ac:dyDescent="0.25">
      <c r="A36" s="43">
        <v>27</v>
      </c>
      <c r="B36" s="42">
        <v>10</v>
      </c>
      <c r="C36" s="42" t="s">
        <v>57</v>
      </c>
      <c r="D36" s="42">
        <v>2</v>
      </c>
      <c r="E36" s="42">
        <v>1500</v>
      </c>
      <c r="F36" s="42">
        <v>3000</v>
      </c>
      <c r="G36" s="75" t="s">
        <v>369</v>
      </c>
      <c r="H36" s="42">
        <v>5</v>
      </c>
      <c r="I36" s="42" t="s">
        <v>84</v>
      </c>
      <c r="J36" s="42" t="s">
        <v>104</v>
      </c>
      <c r="K36" s="42" t="s">
        <v>58</v>
      </c>
      <c r="L36" s="42" t="s">
        <v>59</v>
      </c>
      <c r="M36" s="42">
        <v>1500</v>
      </c>
      <c r="N36" s="42">
        <v>162</v>
      </c>
      <c r="O36" s="42" t="s">
        <v>51</v>
      </c>
      <c r="P36" s="42"/>
      <c r="Q36" s="42" t="s">
        <v>52</v>
      </c>
      <c r="R36" s="42" t="s">
        <v>53</v>
      </c>
      <c r="S36" s="42" t="s">
        <v>358</v>
      </c>
      <c r="T36" s="42" t="s">
        <v>359</v>
      </c>
      <c r="U36" s="42" t="s">
        <v>93</v>
      </c>
      <c r="V36" s="42" t="s">
        <v>75</v>
      </c>
      <c r="W36" s="42">
        <v>987257384</v>
      </c>
      <c r="X36" s="42" t="s">
        <v>360</v>
      </c>
      <c r="Y36" s="42" t="s">
        <v>85</v>
      </c>
      <c r="Z36" s="42" t="s">
        <v>86</v>
      </c>
      <c r="AA36" s="42" t="s">
        <v>87</v>
      </c>
      <c r="AB36" s="42" t="s">
        <v>88</v>
      </c>
      <c r="AC36" s="42">
        <v>928928292</v>
      </c>
      <c r="AD36" s="42" t="s">
        <v>31</v>
      </c>
      <c r="AE36" s="44"/>
      <c r="AF36" s="42" t="s">
        <v>111</v>
      </c>
    </row>
    <row r="37" spans="1:32" x14ac:dyDescent="0.25">
      <c r="A37" s="43">
        <v>28</v>
      </c>
      <c r="B37" s="42">
        <v>10</v>
      </c>
      <c r="C37" s="42" t="s">
        <v>68</v>
      </c>
      <c r="D37" s="42">
        <v>1</v>
      </c>
      <c r="E37" s="42">
        <v>50000</v>
      </c>
      <c r="F37" s="42">
        <v>50000</v>
      </c>
      <c r="G37" s="75" t="s">
        <v>369</v>
      </c>
      <c r="H37" s="42">
        <v>5</v>
      </c>
      <c r="I37" s="42" t="s">
        <v>84</v>
      </c>
      <c r="J37" s="42" t="s">
        <v>104</v>
      </c>
      <c r="K37" s="42" t="s">
        <v>69</v>
      </c>
      <c r="L37" s="42" t="s">
        <v>70</v>
      </c>
      <c r="M37" s="42">
        <v>50000</v>
      </c>
      <c r="N37" s="42">
        <v>8</v>
      </c>
      <c r="O37" s="42" t="s">
        <v>66</v>
      </c>
      <c r="P37" s="42"/>
      <c r="Q37" s="42" t="s">
        <v>67</v>
      </c>
      <c r="R37" s="42" t="s">
        <v>59</v>
      </c>
      <c r="S37" s="42" t="s">
        <v>358</v>
      </c>
      <c r="T37" s="42" t="s">
        <v>359</v>
      </c>
      <c r="U37" s="42" t="s">
        <v>93</v>
      </c>
      <c r="V37" s="42" t="s">
        <v>75</v>
      </c>
      <c r="W37" s="42">
        <v>987257384</v>
      </c>
      <c r="X37" s="42" t="s">
        <v>360</v>
      </c>
      <c r="Y37" s="42" t="s">
        <v>85</v>
      </c>
      <c r="Z37" s="42" t="s">
        <v>86</v>
      </c>
      <c r="AA37" s="42" t="s">
        <v>87</v>
      </c>
      <c r="AB37" s="42" t="s">
        <v>88</v>
      </c>
      <c r="AC37" s="42">
        <v>928928292</v>
      </c>
      <c r="AD37" s="42" t="s">
        <v>31</v>
      </c>
      <c r="AE37" s="44"/>
      <c r="AF37" s="42" t="s">
        <v>111</v>
      </c>
    </row>
    <row r="38" spans="1:32" x14ac:dyDescent="0.25">
      <c r="A38" s="43">
        <v>29</v>
      </c>
      <c r="B38" s="42">
        <v>10</v>
      </c>
      <c r="C38" s="42" t="s">
        <v>73</v>
      </c>
      <c r="D38" s="42">
        <v>2</v>
      </c>
      <c r="E38" s="42">
        <v>500</v>
      </c>
      <c r="F38" s="42">
        <v>1000</v>
      </c>
      <c r="G38" s="75" t="s">
        <v>369</v>
      </c>
      <c r="H38" s="42">
        <v>5</v>
      </c>
      <c r="I38" s="42" t="s">
        <v>84</v>
      </c>
      <c r="J38" s="42" t="s">
        <v>104</v>
      </c>
      <c r="K38" s="42" t="s">
        <v>74</v>
      </c>
      <c r="L38" s="42" t="s">
        <v>75</v>
      </c>
      <c r="M38" s="42">
        <v>500</v>
      </c>
      <c r="N38" s="42">
        <v>291</v>
      </c>
      <c r="O38" s="42" t="s">
        <v>66</v>
      </c>
      <c r="P38" s="42"/>
      <c r="Q38" s="42" t="s">
        <v>67</v>
      </c>
      <c r="R38" s="42" t="s">
        <v>59</v>
      </c>
      <c r="S38" s="42" t="s">
        <v>358</v>
      </c>
      <c r="T38" s="42" t="s">
        <v>359</v>
      </c>
      <c r="U38" s="42" t="s">
        <v>93</v>
      </c>
      <c r="V38" s="42" t="s">
        <v>75</v>
      </c>
      <c r="W38" s="42">
        <v>987257384</v>
      </c>
      <c r="X38" s="42" t="s">
        <v>360</v>
      </c>
      <c r="Y38" s="42" t="s">
        <v>85</v>
      </c>
      <c r="Z38" s="42" t="s">
        <v>86</v>
      </c>
      <c r="AA38" s="42" t="s">
        <v>87</v>
      </c>
      <c r="AB38" s="42" t="s">
        <v>88</v>
      </c>
      <c r="AC38" s="42">
        <v>928928292</v>
      </c>
      <c r="AD38" s="42" t="s">
        <v>31</v>
      </c>
      <c r="AE38" s="44"/>
      <c r="AF38" s="42" t="s">
        <v>111</v>
      </c>
    </row>
    <row r="39" spans="1:32" x14ac:dyDescent="0.25">
      <c r="A39" s="43">
        <v>30</v>
      </c>
      <c r="B39" s="42">
        <v>10</v>
      </c>
      <c r="C39" s="42" t="s">
        <v>128</v>
      </c>
      <c r="D39" s="42">
        <v>2</v>
      </c>
      <c r="E39" s="42">
        <v>5000</v>
      </c>
      <c r="F39" s="42">
        <v>10000</v>
      </c>
      <c r="G39" s="75" t="s">
        <v>369</v>
      </c>
      <c r="H39" s="42">
        <v>5</v>
      </c>
      <c r="I39" s="42" t="s">
        <v>84</v>
      </c>
      <c r="J39" s="42" t="s">
        <v>104</v>
      </c>
      <c r="K39" s="42" t="s">
        <v>129</v>
      </c>
      <c r="L39" s="42" t="s">
        <v>75</v>
      </c>
      <c r="M39" s="42">
        <v>5000</v>
      </c>
      <c r="N39" s="42">
        <v>96</v>
      </c>
      <c r="O39" s="42" t="s">
        <v>126</v>
      </c>
      <c r="P39" s="42"/>
      <c r="Q39" s="42" t="s">
        <v>127</v>
      </c>
      <c r="R39" s="42" t="s">
        <v>75</v>
      </c>
      <c r="S39" s="42" t="s">
        <v>358</v>
      </c>
      <c r="T39" s="42" t="s">
        <v>359</v>
      </c>
      <c r="U39" s="42" t="s">
        <v>93</v>
      </c>
      <c r="V39" s="42" t="s">
        <v>75</v>
      </c>
      <c r="W39" s="42">
        <v>987257384</v>
      </c>
      <c r="X39" s="42" t="s">
        <v>360</v>
      </c>
      <c r="Y39" s="42" t="s">
        <v>85</v>
      </c>
      <c r="Z39" s="42" t="s">
        <v>86</v>
      </c>
      <c r="AA39" s="42" t="s">
        <v>87</v>
      </c>
      <c r="AB39" s="42" t="s">
        <v>88</v>
      </c>
      <c r="AC39" s="42">
        <v>928928292</v>
      </c>
      <c r="AD39" s="42" t="s">
        <v>31</v>
      </c>
      <c r="AE39" s="44"/>
      <c r="AF39" s="42" t="s">
        <v>111</v>
      </c>
    </row>
    <row r="40" spans="1:32" x14ac:dyDescent="0.25">
      <c r="A40" s="43">
        <v>31</v>
      </c>
      <c r="B40" s="42">
        <v>11</v>
      </c>
      <c r="C40" s="42" t="s">
        <v>57</v>
      </c>
      <c r="D40" s="42">
        <v>2</v>
      </c>
      <c r="E40" s="42">
        <v>1500</v>
      </c>
      <c r="F40" s="42">
        <v>3000</v>
      </c>
      <c r="G40" s="75" t="s">
        <v>370</v>
      </c>
      <c r="H40" s="42">
        <v>6</v>
      </c>
      <c r="I40" s="42" t="s">
        <v>95</v>
      </c>
      <c r="J40" s="42" t="s">
        <v>104</v>
      </c>
      <c r="K40" s="42" t="s">
        <v>58</v>
      </c>
      <c r="L40" s="42" t="s">
        <v>59</v>
      </c>
      <c r="M40" s="42">
        <v>1500</v>
      </c>
      <c r="N40" s="42">
        <v>160</v>
      </c>
      <c r="O40" s="42" t="s">
        <v>51</v>
      </c>
      <c r="P40" s="42"/>
      <c r="Q40" s="42" t="s">
        <v>52</v>
      </c>
      <c r="R40" s="42" t="s">
        <v>53</v>
      </c>
      <c r="S40" s="42" t="s">
        <v>362</v>
      </c>
      <c r="T40" s="42" t="s">
        <v>363</v>
      </c>
      <c r="U40" s="42" t="s">
        <v>87</v>
      </c>
      <c r="V40" s="42" t="s">
        <v>75</v>
      </c>
      <c r="W40" s="42">
        <v>982738472</v>
      </c>
      <c r="X40" s="42" t="s">
        <v>364</v>
      </c>
      <c r="Y40" s="42" t="s">
        <v>96</v>
      </c>
      <c r="Z40" s="42" t="s">
        <v>97</v>
      </c>
      <c r="AA40" s="42" t="s">
        <v>93</v>
      </c>
      <c r="AB40" s="42" t="s">
        <v>98</v>
      </c>
      <c r="AC40" s="42">
        <v>812598453</v>
      </c>
      <c r="AD40" s="42" t="s">
        <v>31</v>
      </c>
      <c r="AE40" s="44"/>
      <c r="AF40" s="42" t="s">
        <v>111</v>
      </c>
    </row>
    <row r="41" spans="1:32" x14ac:dyDescent="0.25">
      <c r="A41" s="43">
        <v>32</v>
      </c>
      <c r="B41" s="42">
        <v>11</v>
      </c>
      <c r="C41" s="42" t="s">
        <v>71</v>
      </c>
      <c r="D41" s="42">
        <v>2</v>
      </c>
      <c r="E41" s="42">
        <v>40000</v>
      </c>
      <c r="F41" s="42">
        <v>80000</v>
      </c>
      <c r="G41" s="75" t="s">
        <v>370</v>
      </c>
      <c r="H41" s="42">
        <v>6</v>
      </c>
      <c r="I41" s="42" t="s">
        <v>95</v>
      </c>
      <c r="J41" s="42" t="s">
        <v>104</v>
      </c>
      <c r="K41" s="42" t="s">
        <v>72</v>
      </c>
      <c r="L41" s="42" t="s">
        <v>70</v>
      </c>
      <c r="M41" s="42">
        <v>40000</v>
      </c>
      <c r="N41" s="42">
        <v>21</v>
      </c>
      <c r="O41" s="42" t="s">
        <v>66</v>
      </c>
      <c r="P41" s="42"/>
      <c r="Q41" s="42" t="s">
        <v>67</v>
      </c>
      <c r="R41" s="42" t="s">
        <v>59</v>
      </c>
      <c r="S41" s="42" t="s">
        <v>362</v>
      </c>
      <c r="T41" s="42" t="s">
        <v>363</v>
      </c>
      <c r="U41" s="42" t="s">
        <v>87</v>
      </c>
      <c r="V41" s="42" t="s">
        <v>75</v>
      </c>
      <c r="W41" s="42">
        <v>982738472</v>
      </c>
      <c r="X41" s="42" t="s">
        <v>364</v>
      </c>
      <c r="Y41" s="42" t="s">
        <v>96</v>
      </c>
      <c r="Z41" s="42" t="s">
        <v>97</v>
      </c>
      <c r="AA41" s="42" t="s">
        <v>93</v>
      </c>
      <c r="AB41" s="42" t="s">
        <v>98</v>
      </c>
      <c r="AC41" s="42">
        <v>812598453</v>
      </c>
      <c r="AD41" s="42" t="s">
        <v>31</v>
      </c>
      <c r="AE41" s="44"/>
      <c r="AF41" s="42" t="s">
        <v>111</v>
      </c>
    </row>
    <row r="42" spans="1:32" x14ac:dyDescent="0.25">
      <c r="A42" s="43">
        <v>33</v>
      </c>
      <c r="B42" s="42">
        <v>11</v>
      </c>
      <c r="C42" s="42" t="s">
        <v>71</v>
      </c>
      <c r="D42" s="42">
        <v>2</v>
      </c>
      <c r="E42" s="42">
        <v>40000</v>
      </c>
      <c r="F42" s="42">
        <v>80000</v>
      </c>
      <c r="G42" s="75" t="s">
        <v>370</v>
      </c>
      <c r="H42" s="42">
        <v>6</v>
      </c>
      <c r="I42" s="42" t="s">
        <v>95</v>
      </c>
      <c r="J42" s="42" t="s">
        <v>104</v>
      </c>
      <c r="K42" s="42" t="s">
        <v>72</v>
      </c>
      <c r="L42" s="42" t="s">
        <v>70</v>
      </c>
      <c r="M42" s="42">
        <v>40000</v>
      </c>
      <c r="N42" s="42">
        <v>19</v>
      </c>
      <c r="O42" s="42" t="s">
        <v>66</v>
      </c>
      <c r="P42" s="42"/>
      <c r="Q42" s="42" t="s">
        <v>67</v>
      </c>
      <c r="R42" s="42" t="s">
        <v>59</v>
      </c>
      <c r="S42" s="42" t="s">
        <v>362</v>
      </c>
      <c r="T42" s="42" t="s">
        <v>363</v>
      </c>
      <c r="U42" s="42" t="s">
        <v>87</v>
      </c>
      <c r="V42" s="42" t="s">
        <v>75</v>
      </c>
      <c r="W42" s="42">
        <v>982738472</v>
      </c>
      <c r="X42" s="42" t="s">
        <v>364</v>
      </c>
      <c r="Y42" s="42" t="s">
        <v>96</v>
      </c>
      <c r="Z42" s="42" t="s">
        <v>97</v>
      </c>
      <c r="AA42" s="42" t="s">
        <v>93</v>
      </c>
      <c r="AB42" s="42" t="s">
        <v>98</v>
      </c>
      <c r="AC42" s="42">
        <v>812598453</v>
      </c>
      <c r="AD42" s="42" t="s">
        <v>31</v>
      </c>
      <c r="AE42" s="44"/>
      <c r="AF42" s="42" t="s">
        <v>111</v>
      </c>
    </row>
    <row r="43" spans="1:32" x14ac:dyDescent="0.25">
      <c r="A43" s="43">
        <v>34</v>
      </c>
      <c r="B43" s="42">
        <v>12</v>
      </c>
      <c r="C43" s="42" t="s">
        <v>136</v>
      </c>
      <c r="D43" s="42">
        <v>1</v>
      </c>
      <c r="E43" s="42">
        <v>50000</v>
      </c>
      <c r="F43" s="42">
        <v>50000</v>
      </c>
      <c r="G43" s="75" t="s">
        <v>371</v>
      </c>
      <c r="H43" s="42">
        <v>8</v>
      </c>
      <c r="I43" s="42" t="s">
        <v>95</v>
      </c>
      <c r="J43" s="42" t="s">
        <v>104</v>
      </c>
      <c r="K43" s="42" t="s">
        <v>137</v>
      </c>
      <c r="L43" s="42" t="s">
        <v>75</v>
      </c>
      <c r="M43" s="42">
        <v>50000</v>
      </c>
      <c r="N43" s="42">
        <v>33</v>
      </c>
      <c r="O43" s="42" t="s">
        <v>134</v>
      </c>
      <c r="P43" s="42"/>
      <c r="Q43" s="42" t="s">
        <v>135</v>
      </c>
      <c r="R43" s="42" t="s">
        <v>75</v>
      </c>
      <c r="S43" s="42" t="s">
        <v>366</v>
      </c>
      <c r="T43" s="42" t="s">
        <v>367</v>
      </c>
      <c r="U43" s="42" t="s">
        <v>87</v>
      </c>
      <c r="V43" s="42" t="s">
        <v>75</v>
      </c>
      <c r="W43" s="42">
        <v>987829384</v>
      </c>
      <c r="X43" s="42" t="s">
        <v>368</v>
      </c>
      <c r="Y43" s="42" t="s">
        <v>96</v>
      </c>
      <c r="Z43" s="42" t="s">
        <v>97</v>
      </c>
      <c r="AA43" s="42" t="s">
        <v>93</v>
      </c>
      <c r="AB43" s="42" t="s">
        <v>98</v>
      </c>
      <c r="AC43" s="42">
        <v>812598453</v>
      </c>
      <c r="AD43" s="42" t="s">
        <v>31</v>
      </c>
      <c r="AE43" s="44"/>
      <c r="AF43" s="42" t="s">
        <v>111</v>
      </c>
    </row>
    <row r="44" spans="1:32" x14ac:dyDescent="0.25">
      <c r="A44" s="43">
        <v>35</v>
      </c>
      <c r="B44" s="42">
        <v>12</v>
      </c>
      <c r="C44" s="42" t="s">
        <v>132</v>
      </c>
      <c r="D44" s="42">
        <v>4</v>
      </c>
      <c r="E44" s="42">
        <v>50000</v>
      </c>
      <c r="F44" s="42">
        <v>200000</v>
      </c>
      <c r="G44" s="75" t="s">
        <v>371</v>
      </c>
      <c r="H44" s="42">
        <v>8</v>
      </c>
      <c r="I44" s="42" t="s">
        <v>95</v>
      </c>
      <c r="J44" s="42" t="s">
        <v>104</v>
      </c>
      <c r="K44" s="42" t="s">
        <v>133</v>
      </c>
      <c r="L44" s="42" t="s">
        <v>75</v>
      </c>
      <c r="M44" s="42">
        <v>50000</v>
      </c>
      <c r="N44" s="42">
        <v>9</v>
      </c>
      <c r="O44" s="42" t="s">
        <v>126</v>
      </c>
      <c r="P44" s="42"/>
      <c r="Q44" s="42" t="s">
        <v>127</v>
      </c>
      <c r="R44" s="42" t="s">
        <v>75</v>
      </c>
      <c r="S44" s="42" t="s">
        <v>366</v>
      </c>
      <c r="T44" s="42" t="s">
        <v>367</v>
      </c>
      <c r="U44" s="42" t="s">
        <v>87</v>
      </c>
      <c r="V44" s="42" t="s">
        <v>75</v>
      </c>
      <c r="W44" s="42">
        <v>987829384</v>
      </c>
      <c r="X44" s="42" t="s">
        <v>368</v>
      </c>
      <c r="Y44" s="42" t="s">
        <v>96</v>
      </c>
      <c r="Z44" s="42" t="s">
        <v>97</v>
      </c>
      <c r="AA44" s="42" t="s">
        <v>93</v>
      </c>
      <c r="AB44" s="42" t="s">
        <v>98</v>
      </c>
      <c r="AC44" s="42">
        <v>812598453</v>
      </c>
      <c r="AD44" s="42" t="s">
        <v>31</v>
      </c>
      <c r="AE44" s="44"/>
      <c r="AF44" s="42" t="s">
        <v>111</v>
      </c>
    </row>
    <row r="45" spans="1:32" x14ac:dyDescent="0.25">
      <c r="A45" s="43">
        <v>36</v>
      </c>
      <c r="B45" s="42">
        <v>13</v>
      </c>
      <c r="C45" s="42" t="s">
        <v>82</v>
      </c>
      <c r="D45" s="42">
        <v>20</v>
      </c>
      <c r="E45" s="42">
        <v>8000</v>
      </c>
      <c r="F45" s="42">
        <v>160000</v>
      </c>
      <c r="G45" s="75">
        <v>45901.477754629632</v>
      </c>
      <c r="H45" s="42">
        <v>9</v>
      </c>
      <c r="I45" s="42" t="s">
        <v>95</v>
      </c>
      <c r="J45" s="42" t="s">
        <v>104</v>
      </c>
      <c r="K45" s="42" t="s">
        <v>83</v>
      </c>
      <c r="L45" s="42" t="s">
        <v>75</v>
      </c>
      <c r="M45" s="42">
        <v>8000</v>
      </c>
      <c r="N45" s="42">
        <v>18</v>
      </c>
      <c r="O45" s="42" t="s">
        <v>66</v>
      </c>
      <c r="P45" s="42"/>
      <c r="Q45" s="42" t="s">
        <v>67</v>
      </c>
      <c r="R45" s="42" t="s">
        <v>59</v>
      </c>
      <c r="S45" s="42" t="s">
        <v>383</v>
      </c>
      <c r="T45" s="42" t="s">
        <v>384</v>
      </c>
      <c r="U45" s="42" t="s">
        <v>93</v>
      </c>
      <c r="V45" s="42" t="s">
        <v>75</v>
      </c>
      <c r="W45" s="42">
        <v>987654327</v>
      </c>
      <c r="X45" s="42" t="s">
        <v>356</v>
      </c>
      <c r="Y45" s="42" t="s">
        <v>96</v>
      </c>
      <c r="Z45" s="42" t="s">
        <v>97</v>
      </c>
      <c r="AA45" s="42" t="s">
        <v>93</v>
      </c>
      <c r="AB45" s="42" t="s">
        <v>98</v>
      </c>
      <c r="AC45" s="42">
        <v>812598453</v>
      </c>
      <c r="AD45" s="42" t="s">
        <v>31</v>
      </c>
      <c r="AE45" s="44"/>
      <c r="AF45" s="42" t="s">
        <v>111</v>
      </c>
    </row>
    <row r="46" spans="1:32" x14ac:dyDescent="0.25">
      <c r="A46" s="43">
        <v>37</v>
      </c>
      <c r="B46" s="42">
        <v>13</v>
      </c>
      <c r="C46" s="42" t="s">
        <v>73</v>
      </c>
      <c r="D46" s="42">
        <v>2</v>
      </c>
      <c r="E46" s="42">
        <v>500</v>
      </c>
      <c r="F46" s="42">
        <v>1000</v>
      </c>
      <c r="G46" s="75">
        <v>45901.477754629632</v>
      </c>
      <c r="H46" s="42">
        <v>9</v>
      </c>
      <c r="I46" s="42" t="s">
        <v>95</v>
      </c>
      <c r="J46" s="42" t="s">
        <v>104</v>
      </c>
      <c r="K46" s="42" t="s">
        <v>74</v>
      </c>
      <c r="L46" s="42" t="s">
        <v>75</v>
      </c>
      <c r="M46" s="42">
        <v>500</v>
      </c>
      <c r="N46" s="42">
        <v>289</v>
      </c>
      <c r="O46" s="42" t="s">
        <v>66</v>
      </c>
      <c r="P46" s="42"/>
      <c r="Q46" s="42" t="s">
        <v>67</v>
      </c>
      <c r="R46" s="42" t="s">
        <v>59</v>
      </c>
      <c r="S46" s="42" t="s">
        <v>383</v>
      </c>
      <c r="T46" s="42" t="s">
        <v>384</v>
      </c>
      <c r="U46" s="42" t="s">
        <v>93</v>
      </c>
      <c r="V46" s="42" t="s">
        <v>75</v>
      </c>
      <c r="W46" s="42">
        <v>987654327</v>
      </c>
      <c r="X46" s="42" t="s">
        <v>356</v>
      </c>
      <c r="Y46" s="42" t="s">
        <v>96</v>
      </c>
      <c r="Z46" s="42" t="s">
        <v>97</v>
      </c>
      <c r="AA46" s="42" t="s">
        <v>93</v>
      </c>
      <c r="AB46" s="42" t="s">
        <v>98</v>
      </c>
      <c r="AC46" s="42">
        <v>812598453</v>
      </c>
      <c r="AD46" s="42" t="s">
        <v>31</v>
      </c>
      <c r="AE46" s="44"/>
      <c r="AF46" s="42" t="s">
        <v>111</v>
      </c>
    </row>
    <row r="47" spans="1:32" x14ac:dyDescent="0.25">
      <c r="A47" s="43">
        <v>38</v>
      </c>
      <c r="B47" s="42">
        <v>14</v>
      </c>
      <c r="C47" s="42" t="s">
        <v>64</v>
      </c>
      <c r="D47" s="42">
        <v>10</v>
      </c>
      <c r="E47" s="42">
        <v>2500</v>
      </c>
      <c r="F47" s="42">
        <v>25000</v>
      </c>
      <c r="G47" s="75">
        <v>45901.527430555558</v>
      </c>
      <c r="H47" s="42">
        <v>10</v>
      </c>
      <c r="I47" s="42" t="s">
        <v>95</v>
      </c>
      <c r="J47" s="42" t="s">
        <v>104</v>
      </c>
      <c r="K47" s="42" t="s">
        <v>65</v>
      </c>
      <c r="L47" s="42" t="s">
        <v>59</v>
      </c>
      <c r="M47" s="42">
        <v>2500</v>
      </c>
      <c r="N47" s="42">
        <v>37</v>
      </c>
      <c r="O47" s="42" t="s">
        <v>51</v>
      </c>
      <c r="P47" s="42"/>
      <c r="Q47" s="42" t="s">
        <v>52</v>
      </c>
      <c r="R47" s="42" t="s">
        <v>53</v>
      </c>
      <c r="S47" s="42" t="s">
        <v>387</v>
      </c>
      <c r="T47" s="42" t="s">
        <v>388</v>
      </c>
      <c r="U47" s="42" t="s">
        <v>93</v>
      </c>
      <c r="V47" s="42" t="s">
        <v>75</v>
      </c>
      <c r="W47" s="42">
        <v>908748824</v>
      </c>
      <c r="X47" s="42" t="s">
        <v>389</v>
      </c>
      <c r="Y47" s="42" t="s">
        <v>96</v>
      </c>
      <c r="Z47" s="42" t="s">
        <v>97</v>
      </c>
      <c r="AA47" s="42" t="s">
        <v>93</v>
      </c>
      <c r="AB47" s="42" t="s">
        <v>98</v>
      </c>
      <c r="AC47" s="42">
        <v>812598453</v>
      </c>
      <c r="AD47" s="42" t="s">
        <v>31</v>
      </c>
      <c r="AE47" s="44"/>
      <c r="AF47" s="42" t="s">
        <v>111</v>
      </c>
    </row>
    <row r="48" spans="1:32" x14ac:dyDescent="0.25">
      <c r="A48" s="43">
        <v>39</v>
      </c>
      <c r="B48" s="42">
        <v>15</v>
      </c>
      <c r="C48" s="42" t="s">
        <v>57</v>
      </c>
      <c r="D48" s="42">
        <v>12</v>
      </c>
      <c r="E48" s="42">
        <v>1500</v>
      </c>
      <c r="F48" s="42">
        <v>18000</v>
      </c>
      <c r="G48" s="75">
        <v>45901.536087962966</v>
      </c>
      <c r="H48" s="42">
        <v>10</v>
      </c>
      <c r="I48" s="42" t="s">
        <v>95</v>
      </c>
      <c r="J48" s="42" t="s">
        <v>104</v>
      </c>
      <c r="K48" s="42" t="s">
        <v>58</v>
      </c>
      <c r="L48" s="42" t="s">
        <v>59</v>
      </c>
      <c r="M48" s="42">
        <v>1500</v>
      </c>
      <c r="N48" s="42">
        <v>148</v>
      </c>
      <c r="O48" s="42" t="s">
        <v>51</v>
      </c>
      <c r="P48" s="42"/>
      <c r="Q48" s="42" t="s">
        <v>52</v>
      </c>
      <c r="R48" s="42" t="s">
        <v>53</v>
      </c>
      <c r="S48" s="42" t="s">
        <v>387</v>
      </c>
      <c r="T48" s="42" t="s">
        <v>388</v>
      </c>
      <c r="U48" s="42" t="s">
        <v>93</v>
      </c>
      <c r="V48" s="42" t="s">
        <v>75</v>
      </c>
      <c r="W48" s="42">
        <v>908748824</v>
      </c>
      <c r="X48" s="42" t="s">
        <v>389</v>
      </c>
      <c r="Y48" s="42" t="s">
        <v>96</v>
      </c>
      <c r="Z48" s="42" t="s">
        <v>97</v>
      </c>
      <c r="AA48" s="42" t="s">
        <v>93</v>
      </c>
      <c r="AB48" s="42" t="s">
        <v>98</v>
      </c>
      <c r="AC48" s="42">
        <v>812598453</v>
      </c>
      <c r="AD48" s="42" t="s">
        <v>31</v>
      </c>
      <c r="AE48" s="44"/>
      <c r="AF48" s="42" t="s">
        <v>111</v>
      </c>
    </row>
    <row r="49" spans="1:32" x14ac:dyDescent="0.25">
      <c r="A49" s="43">
        <v>40</v>
      </c>
      <c r="B49" s="42">
        <v>16</v>
      </c>
      <c r="C49" s="42" t="s">
        <v>374</v>
      </c>
      <c r="D49" s="42">
        <v>3</v>
      </c>
      <c r="E49" s="42">
        <v>4500</v>
      </c>
      <c r="F49" s="42">
        <v>13500</v>
      </c>
      <c r="G49" s="76">
        <v>45901.54828703704</v>
      </c>
      <c r="H49" s="42">
        <v>11</v>
      </c>
      <c r="I49" s="42" t="s">
        <v>95</v>
      </c>
      <c r="J49" s="42" t="s">
        <v>104</v>
      </c>
      <c r="K49" s="42" t="s">
        <v>375</v>
      </c>
      <c r="L49" s="42" t="s">
        <v>75</v>
      </c>
      <c r="M49" s="42">
        <v>4500</v>
      </c>
      <c r="N49" s="42">
        <v>117</v>
      </c>
      <c r="O49" s="42" t="s">
        <v>372</v>
      </c>
      <c r="P49" s="42"/>
      <c r="Q49" s="42" t="s">
        <v>373</v>
      </c>
      <c r="R49" s="42" t="s">
        <v>75</v>
      </c>
      <c r="S49" s="42" t="s">
        <v>140</v>
      </c>
      <c r="T49" s="42" t="s">
        <v>391</v>
      </c>
      <c r="U49" s="42" t="s">
        <v>93</v>
      </c>
      <c r="V49" s="42" t="s">
        <v>75</v>
      </c>
      <c r="W49" s="42">
        <v>983985784</v>
      </c>
      <c r="X49" s="42" t="s">
        <v>392</v>
      </c>
      <c r="Y49" s="42" t="s">
        <v>96</v>
      </c>
      <c r="Z49" s="42" t="s">
        <v>97</v>
      </c>
      <c r="AA49" s="42" t="s">
        <v>93</v>
      </c>
      <c r="AB49" s="42" t="s">
        <v>98</v>
      </c>
      <c r="AC49" s="42">
        <v>812598453</v>
      </c>
      <c r="AD49" s="42" t="s">
        <v>31</v>
      </c>
      <c r="AE49" s="44"/>
      <c r="AF49" s="42" t="s">
        <v>111</v>
      </c>
    </row>
    <row r="50" spans="1:32" x14ac:dyDescent="0.25">
      <c r="A50" s="43">
        <v>41</v>
      </c>
      <c r="B50" s="42">
        <v>17</v>
      </c>
      <c r="C50" s="42" t="s">
        <v>64</v>
      </c>
      <c r="D50" s="42">
        <v>11</v>
      </c>
      <c r="E50" s="42">
        <v>2500</v>
      </c>
      <c r="F50" s="42">
        <v>27500</v>
      </c>
      <c r="G50" s="76">
        <v>45901.565451388888</v>
      </c>
      <c r="H50" s="42">
        <v>12</v>
      </c>
      <c r="I50" s="42" t="s">
        <v>95</v>
      </c>
      <c r="J50" s="42" t="s">
        <v>104</v>
      </c>
      <c r="K50" s="42" t="s">
        <v>65</v>
      </c>
      <c r="L50" s="42" t="s">
        <v>59</v>
      </c>
      <c r="M50" s="42">
        <v>2500</v>
      </c>
      <c r="N50" s="42">
        <v>26</v>
      </c>
      <c r="O50" s="42" t="s">
        <v>51</v>
      </c>
      <c r="P50" s="42"/>
      <c r="Q50" s="42" t="s">
        <v>52</v>
      </c>
      <c r="R50" s="42" t="s">
        <v>53</v>
      </c>
      <c r="S50" s="42" t="s">
        <v>394</v>
      </c>
      <c r="T50" s="42" t="s">
        <v>367</v>
      </c>
      <c r="U50" s="42" t="s">
        <v>87</v>
      </c>
      <c r="V50" s="42" t="s">
        <v>75</v>
      </c>
      <c r="W50" s="42">
        <v>8797645786</v>
      </c>
      <c r="X50" s="42" t="s">
        <v>395</v>
      </c>
      <c r="Y50" s="42" t="s">
        <v>96</v>
      </c>
      <c r="Z50" s="42" t="s">
        <v>97</v>
      </c>
      <c r="AA50" s="42" t="s">
        <v>93</v>
      </c>
      <c r="AB50" s="42" t="s">
        <v>98</v>
      </c>
      <c r="AC50" s="42">
        <v>812598453</v>
      </c>
      <c r="AD50" s="42" t="s">
        <v>31</v>
      </c>
      <c r="AE50" s="44"/>
      <c r="AF50" s="42" t="s">
        <v>111</v>
      </c>
    </row>
    <row r="51" spans="1:32" x14ac:dyDescent="0.25">
      <c r="A51" s="43">
        <v>42</v>
      </c>
      <c r="B51" s="42">
        <v>18</v>
      </c>
      <c r="C51" s="42" t="s">
        <v>128</v>
      </c>
      <c r="D51" s="42">
        <v>10</v>
      </c>
      <c r="E51" s="42">
        <v>5000</v>
      </c>
      <c r="F51" s="42">
        <v>50000</v>
      </c>
      <c r="G51" s="76">
        <v>45901.589745370373</v>
      </c>
      <c r="H51" s="42">
        <v>13</v>
      </c>
      <c r="I51" s="42" t="s">
        <v>95</v>
      </c>
      <c r="J51" s="42" t="s">
        <v>104</v>
      </c>
      <c r="K51" s="42" t="s">
        <v>129</v>
      </c>
      <c r="L51" s="42" t="s">
        <v>75</v>
      </c>
      <c r="M51" s="42">
        <v>5000</v>
      </c>
      <c r="N51" s="42">
        <v>86</v>
      </c>
      <c r="O51" s="42" t="s">
        <v>126</v>
      </c>
      <c r="P51" s="42"/>
      <c r="Q51" s="42" t="s">
        <v>127</v>
      </c>
      <c r="R51" s="42" t="s">
        <v>75</v>
      </c>
      <c r="S51" s="42" t="s">
        <v>399</v>
      </c>
      <c r="T51" s="42" t="s">
        <v>400</v>
      </c>
      <c r="U51" s="42" t="s">
        <v>87</v>
      </c>
      <c r="V51" s="42" t="s">
        <v>75</v>
      </c>
      <c r="W51" s="42">
        <v>987654367</v>
      </c>
      <c r="X51" s="42" t="s">
        <v>401</v>
      </c>
      <c r="Y51" s="42" t="s">
        <v>96</v>
      </c>
      <c r="Z51" s="42" t="s">
        <v>97</v>
      </c>
      <c r="AA51" s="42" t="s">
        <v>93</v>
      </c>
      <c r="AB51" s="42" t="s">
        <v>98</v>
      </c>
      <c r="AC51" s="42">
        <v>812598453</v>
      </c>
      <c r="AD51" s="42" t="s">
        <v>31</v>
      </c>
      <c r="AE51" s="44"/>
      <c r="AF51" s="42" t="s">
        <v>111</v>
      </c>
    </row>
    <row r="52" spans="1:32" x14ac:dyDescent="0.25">
      <c r="A52" s="43">
        <v>43</v>
      </c>
      <c r="B52" s="42">
        <v>18</v>
      </c>
      <c r="C52" s="42" t="s">
        <v>54</v>
      </c>
      <c r="D52" s="42">
        <v>12</v>
      </c>
      <c r="E52" s="42">
        <v>1000</v>
      </c>
      <c r="F52" s="42">
        <v>12000</v>
      </c>
      <c r="G52" s="76">
        <v>45901.589745370373</v>
      </c>
      <c r="H52" s="42">
        <v>13</v>
      </c>
      <c r="I52" s="42" t="s">
        <v>95</v>
      </c>
      <c r="J52" s="42" t="s">
        <v>104</v>
      </c>
      <c r="K52" s="42" t="s">
        <v>55</v>
      </c>
      <c r="L52" s="42" t="s">
        <v>56</v>
      </c>
      <c r="M52" s="42">
        <v>1000</v>
      </c>
      <c r="N52" s="42">
        <v>125</v>
      </c>
      <c r="O52" s="42" t="s">
        <v>51</v>
      </c>
      <c r="P52" s="42"/>
      <c r="Q52" s="42" t="s">
        <v>52</v>
      </c>
      <c r="R52" s="42" t="s">
        <v>53</v>
      </c>
      <c r="S52" s="42" t="s">
        <v>399</v>
      </c>
      <c r="T52" s="42" t="s">
        <v>400</v>
      </c>
      <c r="U52" s="42" t="s">
        <v>87</v>
      </c>
      <c r="V52" s="42" t="s">
        <v>75</v>
      </c>
      <c r="W52" s="42">
        <v>987654367</v>
      </c>
      <c r="X52" s="42" t="s">
        <v>401</v>
      </c>
      <c r="Y52" s="42" t="s">
        <v>96</v>
      </c>
      <c r="Z52" s="42" t="s">
        <v>97</v>
      </c>
      <c r="AA52" s="42" t="s">
        <v>93</v>
      </c>
      <c r="AB52" s="42" t="s">
        <v>98</v>
      </c>
      <c r="AC52" s="42">
        <v>812598453</v>
      </c>
      <c r="AD52" s="42" t="s">
        <v>31</v>
      </c>
      <c r="AE52" s="44"/>
      <c r="AF52" s="42" t="s">
        <v>111</v>
      </c>
    </row>
    <row r="53" spans="1:32" x14ac:dyDescent="0.25">
      <c r="A53" s="43">
        <v>44</v>
      </c>
      <c r="B53" s="42">
        <v>19</v>
      </c>
      <c r="C53" s="42" t="s">
        <v>138</v>
      </c>
      <c r="D53" s="42">
        <v>2</v>
      </c>
      <c r="E53" s="42">
        <v>200000</v>
      </c>
      <c r="F53" s="42">
        <v>400000</v>
      </c>
      <c r="G53" s="76">
        <v>45901.594976851855</v>
      </c>
      <c r="H53" s="42">
        <v>15</v>
      </c>
      <c r="I53" s="42" t="s">
        <v>95</v>
      </c>
      <c r="J53" s="42" t="s">
        <v>104</v>
      </c>
      <c r="K53" s="42" t="s">
        <v>139</v>
      </c>
      <c r="L53" s="42" t="s">
        <v>75</v>
      </c>
      <c r="M53" s="42">
        <v>200000</v>
      </c>
      <c r="N53" s="42">
        <v>11</v>
      </c>
      <c r="O53" s="42" t="s">
        <v>134</v>
      </c>
      <c r="P53" s="42"/>
      <c r="Q53" s="42" t="s">
        <v>135</v>
      </c>
      <c r="R53" s="42" t="s">
        <v>75</v>
      </c>
      <c r="S53" s="42" t="s">
        <v>403</v>
      </c>
      <c r="T53" s="42" t="s">
        <v>404</v>
      </c>
      <c r="U53" s="42" t="s">
        <v>93</v>
      </c>
      <c r="V53" s="42" t="s">
        <v>75</v>
      </c>
      <c r="W53" s="42">
        <v>98762843</v>
      </c>
      <c r="X53" s="42" t="s">
        <v>405</v>
      </c>
      <c r="Y53" s="42" t="s">
        <v>96</v>
      </c>
      <c r="Z53" s="42" t="s">
        <v>97</v>
      </c>
      <c r="AA53" s="42" t="s">
        <v>93</v>
      </c>
      <c r="AB53" s="42" t="s">
        <v>98</v>
      </c>
      <c r="AC53" s="42">
        <v>812598453</v>
      </c>
      <c r="AD53" s="42" t="s">
        <v>31</v>
      </c>
      <c r="AE53" s="44"/>
      <c r="AF53" s="42" t="s">
        <v>111</v>
      </c>
    </row>
    <row r="54" spans="1:32" x14ac:dyDescent="0.25">
      <c r="A54" s="43">
        <v>45</v>
      </c>
      <c r="B54" s="42">
        <v>20</v>
      </c>
      <c r="C54" s="42" t="s">
        <v>64</v>
      </c>
      <c r="D54" s="42">
        <v>10</v>
      </c>
      <c r="E54" s="42">
        <v>2500</v>
      </c>
      <c r="F54" s="42">
        <v>25000</v>
      </c>
      <c r="G54" s="76">
        <v>45901.612210648149</v>
      </c>
      <c r="H54" s="42">
        <v>17</v>
      </c>
      <c r="I54" s="42" t="s">
        <v>95</v>
      </c>
      <c r="J54" s="42" t="s">
        <v>104</v>
      </c>
      <c r="K54" s="42" t="s">
        <v>65</v>
      </c>
      <c r="L54" s="42" t="s">
        <v>59</v>
      </c>
      <c r="M54" s="42">
        <v>2500</v>
      </c>
      <c r="N54" s="42">
        <v>16</v>
      </c>
      <c r="O54" s="42" t="s">
        <v>51</v>
      </c>
      <c r="P54" s="42"/>
      <c r="Q54" s="42" t="s">
        <v>52</v>
      </c>
      <c r="R54" s="42" t="s">
        <v>53</v>
      </c>
      <c r="S54" s="42" t="s">
        <v>407</v>
      </c>
      <c r="T54" s="42" t="s">
        <v>408</v>
      </c>
      <c r="U54" s="42" t="s">
        <v>87</v>
      </c>
      <c r="V54" s="42" t="s">
        <v>75</v>
      </c>
      <c r="W54" s="42">
        <v>98387823</v>
      </c>
      <c r="X54" s="42" t="s">
        <v>409</v>
      </c>
      <c r="Y54" s="42" t="s">
        <v>96</v>
      </c>
      <c r="Z54" s="42" t="s">
        <v>97</v>
      </c>
      <c r="AA54" s="42" t="s">
        <v>93</v>
      </c>
      <c r="AB54" s="42" t="s">
        <v>98</v>
      </c>
      <c r="AC54" s="42">
        <v>812598453</v>
      </c>
      <c r="AD54" s="42" t="s">
        <v>31</v>
      </c>
      <c r="AE54" s="44"/>
      <c r="AF54" s="42" t="s">
        <v>111</v>
      </c>
    </row>
    <row r="55" spans="1:32" x14ac:dyDescent="0.25">
      <c r="A55" s="43">
        <v>46</v>
      </c>
      <c r="B55" s="42">
        <v>21</v>
      </c>
      <c r="C55" s="42" t="s">
        <v>78</v>
      </c>
      <c r="D55" s="42">
        <v>40</v>
      </c>
      <c r="E55" s="42">
        <v>7000</v>
      </c>
      <c r="F55" s="42">
        <v>280000</v>
      </c>
      <c r="G55" s="76">
        <v>45902.29179398148</v>
      </c>
      <c r="H55" s="42">
        <v>18</v>
      </c>
      <c r="I55" s="42" t="s">
        <v>95</v>
      </c>
      <c r="J55" s="42" t="s">
        <v>104</v>
      </c>
      <c r="K55" s="42" t="s">
        <v>79</v>
      </c>
      <c r="L55" s="42" t="s">
        <v>75</v>
      </c>
      <c r="M55" s="42">
        <v>7000</v>
      </c>
      <c r="N55" s="42">
        <v>56</v>
      </c>
      <c r="O55" s="42" t="s">
        <v>66</v>
      </c>
      <c r="P55" s="42"/>
      <c r="Q55" s="42" t="s">
        <v>67</v>
      </c>
      <c r="R55" s="42" t="s">
        <v>59</v>
      </c>
      <c r="S55" s="42" t="s">
        <v>150</v>
      </c>
      <c r="T55" s="42" t="s">
        <v>412</v>
      </c>
      <c r="U55" s="42" t="s">
        <v>93</v>
      </c>
      <c r="V55" s="42" t="s">
        <v>413</v>
      </c>
      <c r="W55" s="42">
        <v>817263849</v>
      </c>
      <c r="X55" s="42" t="s">
        <v>414</v>
      </c>
      <c r="Y55" s="42" t="s">
        <v>96</v>
      </c>
      <c r="Z55" s="42" t="s">
        <v>97</v>
      </c>
      <c r="AA55" s="42" t="s">
        <v>93</v>
      </c>
      <c r="AB55" s="42" t="s">
        <v>98</v>
      </c>
      <c r="AC55" s="42">
        <v>812598453</v>
      </c>
      <c r="AD55" s="42" t="s">
        <v>31</v>
      </c>
      <c r="AE55" s="44" t="s">
        <v>410</v>
      </c>
      <c r="AF55" s="42" t="s">
        <v>111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FA2F9-DFC5-4B48-92B0-8B31105344B1}">
  <sheetPr codeName="Feuil14"/>
  <dimension ref="B3:H7"/>
  <sheetViews>
    <sheetView workbookViewId="0">
      <selection activeCell="B3" sqref="B3"/>
    </sheetView>
  </sheetViews>
  <sheetFormatPr baseColWidth="10" defaultRowHeight="15" x14ac:dyDescent="0.25"/>
  <cols>
    <col min="2" max="2" width="21.5703125" bestFit="1" customWidth="1"/>
    <col min="3" max="3" width="14.28515625" bestFit="1" customWidth="1"/>
    <col min="4" max="4" width="14.5703125" bestFit="1" customWidth="1"/>
    <col min="5" max="5" width="17.140625" bestFit="1" customWidth="1"/>
    <col min="6" max="6" width="30" bestFit="1" customWidth="1"/>
    <col min="7" max="7" width="25" bestFit="1" customWidth="1"/>
    <col min="8" max="8" width="27.5703125" bestFit="1" customWidth="1"/>
  </cols>
  <sheetData>
    <row r="3" spans="2:8" x14ac:dyDescent="0.25">
      <c r="B3" t="s">
        <v>376</v>
      </c>
      <c r="C3" t="s">
        <v>377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</row>
    <row r="4" spans="2:8" x14ac:dyDescent="0.25">
      <c r="B4" s="71">
        <v>12</v>
      </c>
      <c r="C4" s="71">
        <v>1489000</v>
      </c>
      <c r="D4" s="71">
        <v>11</v>
      </c>
      <c r="E4" s="71">
        <v>2</v>
      </c>
      <c r="F4" s="71">
        <v>124083.33333333333</v>
      </c>
      <c r="G4" s="71">
        <v>135363.63636363635</v>
      </c>
      <c r="H4" s="71">
        <v>744500</v>
      </c>
    </row>
    <row r="7" spans="2:8" x14ac:dyDescent="0.25">
      <c r="B7">
        <f>GETPIVOTDATA("[Measures].[Nombre de commande]",$B$3)</f>
        <v>12</v>
      </c>
      <c r="C7" s="74">
        <f>GETPIVOTDATA("[Measures].[Montant vente]",$B$3)</f>
        <v>1489000</v>
      </c>
      <c r="D7">
        <f>GETPIVOTDATA("[Measures].[Nombre clients]",$B$3)</f>
        <v>11</v>
      </c>
      <c r="E7">
        <f>GETPIVOTDATA("[Measures].[Nombre vendeurs]",$B$3)</f>
        <v>2</v>
      </c>
      <c r="F7" s="74">
        <f>GETPIVOTDATA("[Measures].[Moyenne ventes par commande]",$B$3)</f>
        <v>124083.33333333333</v>
      </c>
      <c r="G7" s="74">
        <f>GETPIVOTDATA("[Measures].[Moyenne ventes par client]",$B$3)</f>
        <v>135363.63636363635</v>
      </c>
      <c r="H7" s="74">
        <f>GETPIVOTDATA("[Measures].[Moyenne ventes par vendeur]",$B$3)</f>
        <v>744500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3805-C385-44AE-A219-023CFD86D168}">
  <sheetPr codeName="Feuil9"/>
  <dimension ref="A1:Q30"/>
  <sheetViews>
    <sheetView showGridLines="0" showRowColHeaders="0" tabSelected="1" topLeftCell="A2" zoomScale="90" zoomScaleNormal="90" zoomScaleSheetLayoutView="70" workbookViewId="0">
      <selection activeCell="Q6" sqref="Q6"/>
    </sheetView>
  </sheetViews>
  <sheetFormatPr baseColWidth="10" defaultRowHeight="15" x14ac:dyDescent="0.25"/>
  <cols>
    <col min="4" max="4" width="6.85546875" customWidth="1"/>
    <col min="6" max="6" width="11" customWidth="1"/>
    <col min="16" max="16" width="39.5703125" customWidth="1"/>
  </cols>
  <sheetData>
    <row r="1" spans="1:17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</row>
    <row r="2" spans="1:17" x14ac:dyDescent="0.25">
      <c r="A2" s="21"/>
      <c r="B2" s="80" t="s">
        <v>47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21"/>
    </row>
    <row r="3" spans="1:17" x14ac:dyDescent="0.25">
      <c r="A3" s="21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"/>
    </row>
    <row r="4" spans="1:17" ht="29.25" customHeight="1" x14ac:dyDescent="0.25">
      <c r="A4" s="21"/>
      <c r="B4" s="81" t="s">
        <v>48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21"/>
    </row>
    <row r="5" spans="1:17" x14ac:dyDescent="0.25">
      <c r="A5" s="21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1"/>
    </row>
    <row r="6" spans="1:17" x14ac:dyDescent="0.25">
      <c r="A6" s="21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21"/>
    </row>
    <row r="7" spans="1:17" x14ac:dyDescent="0.25">
      <c r="A7" s="21"/>
      <c r="B7" s="72"/>
      <c r="C7" s="72"/>
      <c r="D7" s="72"/>
      <c r="E7" s="73"/>
      <c r="F7" s="72"/>
      <c r="G7" s="79"/>
      <c r="H7" s="72"/>
      <c r="I7" s="72"/>
      <c r="J7" s="72"/>
      <c r="K7" s="72"/>
      <c r="L7" s="72"/>
      <c r="M7" s="72"/>
      <c r="N7" s="72"/>
      <c r="O7" s="72"/>
      <c r="P7" s="72"/>
      <c r="Q7" s="21"/>
    </row>
    <row r="8" spans="1:17" x14ac:dyDescent="0.25">
      <c r="A8" s="21"/>
      <c r="B8" s="72"/>
      <c r="C8" s="72"/>
      <c r="D8" s="72"/>
      <c r="E8" s="73"/>
      <c r="F8" s="72"/>
      <c r="G8" s="79"/>
      <c r="H8" s="72"/>
      <c r="I8" s="72"/>
      <c r="J8" s="72"/>
      <c r="K8" s="72"/>
      <c r="L8" s="72"/>
      <c r="M8" s="72"/>
      <c r="N8" s="72"/>
      <c r="O8" s="72"/>
      <c r="P8" s="72"/>
      <c r="Q8" s="21"/>
    </row>
    <row r="9" spans="1:17" x14ac:dyDescent="0.25">
      <c r="A9" s="21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21"/>
    </row>
    <row r="10" spans="1:17" x14ac:dyDescent="0.25">
      <c r="A10" s="21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21"/>
    </row>
    <row r="11" spans="1:17" x14ac:dyDescent="0.25">
      <c r="A11" s="21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21"/>
    </row>
    <row r="12" spans="1:17" x14ac:dyDescent="0.25">
      <c r="A12" s="21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21"/>
    </row>
    <row r="13" spans="1:17" x14ac:dyDescent="0.25">
      <c r="A13" s="21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21"/>
    </row>
    <row r="14" spans="1:17" x14ac:dyDescent="0.25">
      <c r="A14" s="21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21"/>
    </row>
    <row r="15" spans="1:17" x14ac:dyDescent="0.25">
      <c r="A15" s="21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21"/>
    </row>
    <row r="16" spans="1:17" x14ac:dyDescent="0.25">
      <c r="A16" s="21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21"/>
    </row>
    <row r="17" spans="1:17" x14ac:dyDescent="0.25">
      <c r="A17" s="21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21"/>
    </row>
    <row r="18" spans="1:17" x14ac:dyDescent="0.25">
      <c r="A18" s="21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21"/>
    </row>
    <row r="19" spans="1:17" x14ac:dyDescent="0.25">
      <c r="A19" s="21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21"/>
    </row>
    <row r="20" spans="1:17" x14ac:dyDescent="0.25">
      <c r="A20" s="21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21"/>
    </row>
    <row r="21" spans="1:17" x14ac:dyDescent="0.25">
      <c r="A21" s="21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21"/>
    </row>
    <row r="22" spans="1:17" x14ac:dyDescent="0.25">
      <c r="A22" s="21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21"/>
    </row>
    <row r="23" spans="1:17" x14ac:dyDescent="0.25">
      <c r="A23" s="21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21"/>
    </row>
    <row r="24" spans="1:17" x14ac:dyDescent="0.25">
      <c r="A24" s="21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21"/>
    </row>
    <row r="25" spans="1:17" ht="57.75" customHeight="1" x14ac:dyDescent="0.25">
      <c r="A25" s="21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21"/>
    </row>
    <row r="26" spans="1:17" ht="36.75" customHeight="1" x14ac:dyDescent="0.25">
      <c r="A26" s="21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21"/>
    </row>
    <row r="27" spans="1:17" x14ac:dyDescent="0.25">
      <c r="A27" s="21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21"/>
    </row>
    <row r="28" spans="1:17" x14ac:dyDescent="0.25">
      <c r="A28" s="21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21"/>
    </row>
    <row r="29" spans="1:17" ht="18.75" customHeight="1" x14ac:dyDescent="0.25">
      <c r="A29" s="21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21"/>
    </row>
    <row r="30" spans="1:17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</row>
  </sheetData>
  <mergeCells count="3">
    <mergeCell ref="G7:G8"/>
    <mergeCell ref="B2:P3"/>
    <mergeCell ref="B4:P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E624-43DB-493D-9406-6A71C6433121}">
  <sheetPr codeName="Feuil12"/>
  <dimension ref="A1:AF57"/>
  <sheetViews>
    <sheetView topLeftCell="A9" zoomScale="41" zoomScaleNormal="41" workbookViewId="0">
      <selection activeCell="D60" sqref="D60"/>
    </sheetView>
  </sheetViews>
  <sheetFormatPr baseColWidth="10" defaultRowHeight="15" x14ac:dyDescent="0.25"/>
  <cols>
    <col min="1" max="1" width="18.42578125" customWidth="1"/>
    <col min="2" max="2" width="29.5703125" customWidth="1"/>
    <col min="3" max="3" width="17.7109375" customWidth="1"/>
    <col min="7" max="7" width="22.85546875" customWidth="1"/>
    <col min="8" max="8" width="15.7109375" customWidth="1"/>
    <col min="11" max="11" width="18.5703125" customWidth="1"/>
    <col min="12" max="12" width="23" customWidth="1"/>
    <col min="14" max="14" width="11.42578125" customWidth="1"/>
    <col min="18" max="18" width="27.140625" customWidth="1"/>
    <col min="24" max="24" width="38.140625" customWidth="1"/>
    <col min="28" max="28" width="31.42578125" customWidth="1"/>
  </cols>
  <sheetData>
    <row r="1" spans="1:32" ht="16.5" x14ac:dyDescent="0.3">
      <c r="A1" s="33" t="s">
        <v>24</v>
      </c>
      <c r="B1" s="34" t="s">
        <v>21</v>
      </c>
      <c r="C1" s="35" t="s">
        <v>25</v>
      </c>
      <c r="D1" s="34" t="s">
        <v>26</v>
      </c>
      <c r="E1" s="34" t="s">
        <v>27</v>
      </c>
      <c r="F1" s="34" t="s">
        <v>28</v>
      </c>
      <c r="G1" s="36" t="s">
        <v>22</v>
      </c>
      <c r="H1" s="37" t="s">
        <v>7</v>
      </c>
      <c r="I1" s="37" t="s">
        <v>14</v>
      </c>
      <c r="J1" s="37" t="s">
        <v>23</v>
      </c>
      <c r="K1" s="38" t="s">
        <v>4</v>
      </c>
      <c r="L1" s="38" t="s">
        <v>1</v>
      </c>
      <c r="M1" s="38" t="s">
        <v>0</v>
      </c>
      <c r="N1" s="38" t="s">
        <v>2</v>
      </c>
      <c r="O1" s="38" t="s">
        <v>49</v>
      </c>
      <c r="P1" s="38" t="s">
        <v>3</v>
      </c>
      <c r="Q1" s="39" t="s">
        <v>5</v>
      </c>
      <c r="R1" s="39" t="s">
        <v>6</v>
      </c>
      <c r="S1" s="40" t="s">
        <v>8</v>
      </c>
      <c r="T1" s="40" t="s">
        <v>9</v>
      </c>
      <c r="U1" s="40" t="s">
        <v>13</v>
      </c>
      <c r="V1" s="40" t="s">
        <v>10</v>
      </c>
      <c r="W1" s="40" t="s">
        <v>11</v>
      </c>
      <c r="X1" s="40" t="s">
        <v>12</v>
      </c>
      <c r="Y1" s="40" t="s">
        <v>15</v>
      </c>
      <c r="Z1" s="40" t="s">
        <v>16</v>
      </c>
      <c r="AA1" s="40" t="s">
        <v>29</v>
      </c>
      <c r="AB1" s="40" t="s">
        <v>17</v>
      </c>
      <c r="AC1" s="40" t="s">
        <v>18</v>
      </c>
      <c r="AD1" s="40" t="s">
        <v>19</v>
      </c>
      <c r="AE1" s="41" t="s">
        <v>20</v>
      </c>
      <c r="AF1" s="40" t="s">
        <v>110</v>
      </c>
    </row>
    <row r="2" spans="1:32" x14ac:dyDescent="0.25">
      <c r="A2">
        <f>table_source_donnees[[#This Row],[ID_Ligne_Commande]]</f>
        <v>1</v>
      </c>
      <c r="B2">
        <f>table_source_donnees[[#This Row],[ID_Commande]]</f>
        <v>1</v>
      </c>
      <c r="C2" t="str">
        <f>table_source_donnees[[#This Row],[ID_Produit]]</f>
        <v>Roug</v>
      </c>
      <c r="D2">
        <f>table_source_donnees[[#This Row],[Quantite_Commande]]</f>
        <v>2</v>
      </c>
      <c r="E2">
        <f>table_source_donnees[[#This Row],[Prix_Unitaire]]</f>
        <v>1000</v>
      </c>
      <c r="F2">
        <f>table_source_donnees[[#This Row],[Total_Ligne]]</f>
        <v>2000</v>
      </c>
      <c r="G2" t="str">
        <f>table_source_donnees[[#This Row],[Date_Commmande]]</f>
        <v>22/08/2025 21:44:06</v>
      </c>
      <c r="H2">
        <f>table_source_donnees[[#This Row],[ID_Client]]</f>
        <v>1</v>
      </c>
      <c r="I2" t="str">
        <f>table_source_donnees[[#This Row],[ID_Vendeur]]</f>
        <v>AliNgal</v>
      </c>
      <c r="J2" t="str">
        <f>table_source_donnees[[#This Row],[Statut_Commande]]</f>
        <v>Confirmée</v>
      </c>
      <c r="K2" t="str">
        <f>table_source_donnees[[#This Row],[Libellé_Produit]]</f>
        <v>Rouge à lèvres</v>
      </c>
      <c r="L2" t="str">
        <f>table_source_donnees[[#This Row],[Description_Produit]]</f>
        <v>Meilleur pour les levres</v>
      </c>
      <c r="M2">
        <f>table_source_donnees[[#This Row],[Prix_Unitaire_Produit]]</f>
        <v>1000</v>
      </c>
      <c r="N2">
        <f>table_source_donnees[[#This Row],[Quantité_Stockée]]</f>
        <v>138</v>
      </c>
      <c r="O2" t="str">
        <f>table_source_donnees[[#This Row],[ID_Categorie_Produit]]</f>
        <v>Cosm</v>
      </c>
      <c r="P2">
        <f>table_source_donnees[[#This Row],[Image_Produit]]</f>
        <v>0</v>
      </c>
      <c r="Q2" t="str">
        <f>table_source_donnees[[#This Row],[Nom_Categorie_Produit]]</f>
        <v>Cosmétique</v>
      </c>
      <c r="R2" t="str">
        <f>table_source_donnees[[#This Row],[Description_Categorie]]</f>
        <v>Le meilleur des catégories</v>
      </c>
      <c r="S2" t="str">
        <f>table_source_donnees[[#This Row],[Nom_Client]]</f>
        <v>Tshibende</v>
      </c>
      <c r="T2" t="str">
        <f>table_source_donnees[[#This Row],[Prenom_Client]]</f>
        <v>Christelle</v>
      </c>
      <c r="U2" t="str">
        <f>table_source_donnees[[#This Row],[Genre_Client]]</f>
        <v>Féminin</v>
      </c>
      <c r="V2" t="str">
        <f>table_source_donnees[[#This Row],[Email_Client]]</f>
        <v>-</v>
      </c>
      <c r="W2">
        <f>table_source_donnees[[#This Row],[Telephone_Client]]</f>
        <v>983273816</v>
      </c>
      <c r="X2" t="str">
        <f>table_source_donnees[[#This Row],[Adresse_Client]]</f>
        <v>Masanga Mbila, Mont-Ngafula, Kinshasa</v>
      </c>
      <c r="Y2" t="str">
        <f>table_source_donnees[[#This Row],[Nom_Vendeur]]</f>
        <v>Ngalamulume</v>
      </c>
      <c r="Z2" t="str">
        <f>table_source_donnees[[#This Row],[Prenom_Vendeur]]</f>
        <v>Alidor</v>
      </c>
      <c r="AA2" t="str">
        <f>table_source_donnees[[#This Row],[Genre_Vendeur]]</f>
        <v>Masculin</v>
      </c>
      <c r="AB2" t="str">
        <f>table_source_donnees[[#This Row],[Email_Vendeur]]</f>
        <v>alidorngalamulume@gmail.com</v>
      </c>
      <c r="AC2">
        <f>table_source_donnees[[#This Row],[Telephone_Vendeur]]</f>
        <v>823673892</v>
      </c>
      <c r="AD2" t="str">
        <f>table_source_donnees[[#This Row],[Poste_Vendeur]]</f>
        <v>Gestionnaire des ventes</v>
      </c>
      <c r="AE2">
        <f>table_source_donnees[[#This Row],[Image_Vendeur]]</f>
        <v>0</v>
      </c>
      <c r="AF2" t="str">
        <f>table_source_donnees[[#This Row],[Etat_Donnees]]</f>
        <v>Initial</v>
      </c>
    </row>
    <row r="3" spans="1:32" x14ac:dyDescent="0.25">
      <c r="A3">
        <f>table_source_donnees[[#This Row],[ID_Ligne_Commande]]</f>
        <v>2</v>
      </c>
      <c r="B3">
        <f>table_source_donnees[[#This Row],[ID_Commande]]</f>
        <v>1</v>
      </c>
      <c r="C3" t="str">
        <f>table_source_donnees[[#This Row],[ID_Produit]]</f>
        <v>Nov</v>
      </c>
      <c r="D3">
        <f>table_source_donnees[[#This Row],[Quantite_Commande]]</f>
        <v>10</v>
      </c>
      <c r="E3">
        <f>table_source_donnees[[#This Row],[Prix_Unitaire]]</f>
        <v>5000</v>
      </c>
      <c r="F3">
        <f>table_source_donnees[[#This Row],[Total_Ligne]]</f>
        <v>50000</v>
      </c>
      <c r="G3" t="str">
        <f>table_source_donnees[[#This Row],[Date_Commmande]]</f>
        <v>22/08/2025 21:44:06</v>
      </c>
      <c r="H3">
        <f>table_source_donnees[[#This Row],[ID_Client]]</f>
        <v>1</v>
      </c>
      <c r="I3" t="str">
        <f>table_source_donnees[[#This Row],[ID_Vendeur]]</f>
        <v>AliNgal</v>
      </c>
      <c r="J3" t="str">
        <f>table_source_donnees[[#This Row],[Statut_Commande]]</f>
        <v>Confirmée</v>
      </c>
      <c r="K3" t="str">
        <f>table_source_donnees[[#This Row],[Libellé_Produit]]</f>
        <v>Novie Palette</v>
      </c>
      <c r="L3" t="str">
        <f>table_source_donnees[[#This Row],[Description_Produit]]</f>
        <v>Optionnel</v>
      </c>
      <c r="M3">
        <f>table_source_donnees[[#This Row],[Prix_Unitaire_Produit]]</f>
        <v>5000</v>
      </c>
      <c r="N3">
        <f>table_source_donnees[[#This Row],[Quantité_Stockée]]</f>
        <v>80</v>
      </c>
      <c r="O3" t="str">
        <f>table_source_donnees[[#This Row],[ID_Categorie_Produit]]</f>
        <v>Cosm</v>
      </c>
      <c r="P3">
        <f>table_source_donnees[[#This Row],[Image_Produit]]</f>
        <v>0</v>
      </c>
      <c r="Q3" t="str">
        <f>table_source_donnees[[#This Row],[Nom_Categorie_Produit]]</f>
        <v>Cosmétique</v>
      </c>
      <c r="R3" t="str">
        <f>table_source_donnees[[#This Row],[Description_Categorie]]</f>
        <v>Le meilleur des catégories</v>
      </c>
      <c r="S3" t="str">
        <f>table_source_donnees[[#This Row],[Nom_Client]]</f>
        <v>Tshibende</v>
      </c>
      <c r="T3" t="str">
        <f>table_source_donnees[[#This Row],[Prenom_Client]]</f>
        <v>Christelle</v>
      </c>
      <c r="U3" t="str">
        <f>table_source_donnees[[#This Row],[Genre_Client]]</f>
        <v>Féminin</v>
      </c>
      <c r="V3" t="str">
        <f>table_source_donnees[[#This Row],[Email_Client]]</f>
        <v>-</v>
      </c>
      <c r="W3">
        <f>table_source_donnees[[#This Row],[Telephone_Client]]</f>
        <v>983273816</v>
      </c>
      <c r="X3" t="str">
        <f>table_source_donnees[[#This Row],[Adresse_Client]]</f>
        <v>Masanga Mbila, Mont-Ngafula, Kinshasa</v>
      </c>
      <c r="Y3" t="str">
        <f>table_source_donnees[[#This Row],[Nom_Vendeur]]</f>
        <v>Ngalamulume</v>
      </c>
      <c r="Z3" t="str">
        <f>table_source_donnees[[#This Row],[Prenom_Vendeur]]</f>
        <v>Alidor</v>
      </c>
      <c r="AA3" t="str">
        <f>table_source_donnees[[#This Row],[Genre_Vendeur]]</f>
        <v>Masculin</v>
      </c>
      <c r="AB3" t="str">
        <f>table_source_donnees[[#This Row],[Email_Vendeur]]</f>
        <v>alidorngalamulume@gmail.com</v>
      </c>
      <c r="AC3">
        <f>table_source_donnees[[#This Row],[Telephone_Vendeur]]</f>
        <v>823673892</v>
      </c>
      <c r="AD3" t="str">
        <f>table_source_donnees[[#This Row],[Poste_Vendeur]]</f>
        <v>Gestionnaire des ventes</v>
      </c>
      <c r="AE3">
        <f>table_source_donnees[[#This Row],[Image_Vendeur]]</f>
        <v>0</v>
      </c>
      <c r="AF3" t="str">
        <f>table_source_donnees[[#This Row],[Etat_Donnees]]</f>
        <v>Initial</v>
      </c>
    </row>
    <row r="4" spans="1:32" x14ac:dyDescent="0.25">
      <c r="A4">
        <f>table_source_donnees[[#This Row],[ID_Ligne_Commande]]</f>
        <v>1</v>
      </c>
      <c r="B4">
        <f>table_source_donnees[[#This Row],[ID_Commande]]</f>
        <v>1</v>
      </c>
      <c r="C4" t="str">
        <f>table_source_donnees[[#This Row],[ID_Produit]]</f>
        <v>Roug</v>
      </c>
      <c r="D4">
        <f>table_source_donnees[[#This Row],[Quantite_Commande]]</f>
        <v>2</v>
      </c>
      <c r="E4">
        <f>table_source_donnees[[#This Row],[Prix_Unitaire]]</f>
        <v>1000</v>
      </c>
      <c r="F4">
        <f>table_source_donnees[[#This Row],[Total_Ligne]]</f>
        <v>2000</v>
      </c>
      <c r="G4" t="str">
        <f>table_source_donnees[[#This Row],[Date_Commmande]]</f>
        <v>22/08/2025 21:44:06</v>
      </c>
      <c r="H4">
        <f>table_source_donnees[[#This Row],[ID_Client]]</f>
        <v>1</v>
      </c>
      <c r="I4" t="str">
        <f>table_source_donnees[[#This Row],[ID_Vendeur]]</f>
        <v>AliNgal</v>
      </c>
      <c r="J4" t="str">
        <f>table_source_donnees[[#This Row],[Statut_Commande]]</f>
        <v>Confirmée</v>
      </c>
      <c r="K4" t="str">
        <f>table_source_donnees[[#This Row],[Libellé_Produit]]</f>
        <v>Rouge à lèvres</v>
      </c>
      <c r="L4" t="str">
        <f>table_source_donnees[[#This Row],[Description_Produit]]</f>
        <v>Meilleur pour les levres</v>
      </c>
      <c r="M4">
        <f>table_source_donnees[[#This Row],[Prix_Unitaire_Produit]]</f>
        <v>1000</v>
      </c>
      <c r="N4">
        <f>table_source_donnees[[#This Row],[Quantité_Stockée]]</f>
        <v>140</v>
      </c>
      <c r="O4" t="str">
        <f>table_source_donnees[[#This Row],[ID_Categorie_Produit]]</f>
        <v>Cosm</v>
      </c>
      <c r="P4">
        <f>table_source_donnees[[#This Row],[Image_Produit]]</f>
        <v>0</v>
      </c>
      <c r="Q4" t="str">
        <f>table_source_donnees[[#This Row],[Nom_Categorie_Produit]]</f>
        <v>Cosmétique</v>
      </c>
      <c r="R4" t="str">
        <f>table_source_donnees[[#This Row],[Description_Categorie]]</f>
        <v>Le meilleur des catégories</v>
      </c>
      <c r="S4" t="str">
        <f>table_source_donnees[[#This Row],[Nom_Client]]</f>
        <v>Tshibende</v>
      </c>
      <c r="T4" t="str">
        <f>table_source_donnees[[#This Row],[Prenom_Client]]</f>
        <v>Christelle</v>
      </c>
      <c r="U4" t="str">
        <f>table_source_donnees[[#This Row],[Genre_Client]]</f>
        <v>Féminin</v>
      </c>
      <c r="V4" t="str">
        <f>table_source_donnees[[#This Row],[Email_Client]]</f>
        <v>-</v>
      </c>
      <c r="W4">
        <f>table_source_donnees[[#This Row],[Telephone_Client]]</f>
        <v>983273816</v>
      </c>
      <c r="X4" t="str">
        <f>table_source_donnees[[#This Row],[Adresse_Client]]</f>
        <v>Masanga Mbila, Mont-Ngafula, Kinshasa</v>
      </c>
      <c r="Y4" t="str">
        <f>table_source_donnees[[#This Row],[Nom_Vendeur]]</f>
        <v>Ngalamulume</v>
      </c>
      <c r="Z4" t="str">
        <f>table_source_donnees[[#This Row],[Prenom_Vendeur]]</f>
        <v>Alidor</v>
      </c>
      <c r="AA4" t="str">
        <f>table_source_donnees[[#This Row],[Genre_Vendeur]]</f>
        <v>Masculin</v>
      </c>
      <c r="AB4" t="str">
        <f>table_source_donnees[[#This Row],[Email_Vendeur]]</f>
        <v>alidorngalamulume@gmail.com</v>
      </c>
      <c r="AC4">
        <f>table_source_donnees[[#This Row],[Telephone_Vendeur]]</f>
        <v>823673892</v>
      </c>
      <c r="AD4" t="str">
        <f>table_source_donnees[[#This Row],[Poste_Vendeur]]</f>
        <v>Gestionnaire des ventes</v>
      </c>
      <c r="AE4">
        <f>table_source_donnees[[#This Row],[Image_Vendeur]]</f>
        <v>0</v>
      </c>
      <c r="AF4" t="str">
        <f>table_source_donnees[[#This Row],[Etat_Donnees]]</f>
        <v>Supprimé</v>
      </c>
    </row>
    <row r="5" spans="1:32" x14ac:dyDescent="0.25">
      <c r="A5">
        <f>table_source_donnees[[#This Row],[ID_Ligne_Commande]]</f>
        <v>3</v>
      </c>
      <c r="B5">
        <f>table_source_donnees[[#This Row],[ID_Commande]]</f>
        <v>0</v>
      </c>
      <c r="C5" t="str">
        <f>table_source_donnees[[#This Row],[ID_Produit]]</f>
        <v>PomAv</v>
      </c>
      <c r="D5">
        <f>table_source_donnees[[#This Row],[Quantite_Commande]]</f>
        <v>10</v>
      </c>
      <c r="E5">
        <f>table_source_donnees[[#This Row],[Prix_Unitaire]]</f>
        <v>4000</v>
      </c>
      <c r="F5">
        <f>table_source_donnees[[#This Row],[Total_Ligne]]</f>
        <v>40000</v>
      </c>
      <c r="G5">
        <f>table_source_donnees[[#This Row],[Date_Commmande]]</f>
        <v>0</v>
      </c>
      <c r="H5">
        <f>table_source_donnees[[#This Row],[ID_Client]]</f>
        <v>0</v>
      </c>
      <c r="I5">
        <f>table_source_donnees[[#This Row],[ID_Vendeur]]</f>
        <v>0</v>
      </c>
      <c r="J5">
        <f>table_source_donnees[[#This Row],[Statut_Commande]]</f>
        <v>0</v>
      </c>
      <c r="K5" t="str">
        <f>table_source_donnees[[#This Row],[Libellé_Produit]]</f>
        <v>Pomade avocat</v>
      </c>
      <c r="L5" t="str">
        <f>table_source_donnees[[#This Row],[Description_Produit]]</f>
        <v>Optionnel</v>
      </c>
      <c r="M5">
        <f>table_source_donnees[[#This Row],[Prix_Unitaire_Produit]]</f>
        <v>4000</v>
      </c>
      <c r="N5">
        <f>table_source_donnees[[#This Row],[Quantité_Stockée]]</f>
        <v>130</v>
      </c>
      <c r="O5" t="str">
        <f>table_source_donnees[[#This Row],[ID_Categorie_Produit]]</f>
        <v>Cosm</v>
      </c>
      <c r="P5">
        <f>table_source_donnees[[#This Row],[Image_Produit]]</f>
        <v>0</v>
      </c>
      <c r="Q5" t="str">
        <f>table_source_donnees[[#This Row],[Nom_Categorie_Produit]]</f>
        <v>Cosmétique</v>
      </c>
      <c r="R5" t="str">
        <f>table_source_donnees[[#This Row],[Description_Categorie]]</f>
        <v>Le meilleur des catégories</v>
      </c>
      <c r="S5">
        <f>table_source_donnees[[#This Row],[Nom_Client]]</f>
        <v>0</v>
      </c>
      <c r="T5">
        <f>table_source_donnees[[#This Row],[Prenom_Client]]</f>
        <v>0</v>
      </c>
      <c r="U5">
        <f>table_source_donnees[[#This Row],[Genre_Client]]</f>
        <v>0</v>
      </c>
      <c r="V5">
        <f>table_source_donnees[[#This Row],[Email_Client]]</f>
        <v>0</v>
      </c>
      <c r="W5">
        <f>table_source_donnees[[#This Row],[Telephone_Client]]</f>
        <v>0</v>
      </c>
      <c r="X5">
        <f>table_source_donnees[[#This Row],[Adresse_Client]]</f>
        <v>0</v>
      </c>
      <c r="Y5">
        <f>table_source_donnees[[#This Row],[Nom_Vendeur]]</f>
        <v>0</v>
      </c>
      <c r="Z5">
        <f>table_source_donnees[[#This Row],[Prenom_Vendeur]]</f>
        <v>0</v>
      </c>
      <c r="AA5">
        <f>table_source_donnees[[#This Row],[Genre_Vendeur]]</f>
        <v>0</v>
      </c>
      <c r="AB5">
        <f>table_source_donnees[[#This Row],[Email_Vendeur]]</f>
        <v>0</v>
      </c>
      <c r="AC5">
        <f>table_source_donnees[[#This Row],[Telephone_Vendeur]]</f>
        <v>0</v>
      </c>
      <c r="AD5">
        <f>table_source_donnees[[#This Row],[Poste_Vendeur]]</f>
        <v>0</v>
      </c>
      <c r="AE5">
        <f>table_source_donnees[[#This Row],[Image_Vendeur]]</f>
        <v>0</v>
      </c>
      <c r="AF5" t="str">
        <f>table_source_donnees[[#This Row],[Etat_Donnees]]</f>
        <v>Initial</v>
      </c>
    </row>
    <row r="6" spans="1:32" x14ac:dyDescent="0.25">
      <c r="A6">
        <f>table_source_donnees[[#This Row],[ID_Ligne_Commande]]</f>
        <v>4</v>
      </c>
      <c r="B6">
        <f>table_source_donnees[[#This Row],[ID_Commande]]</f>
        <v>1</v>
      </c>
      <c r="C6" t="str">
        <f>table_source_donnees[[#This Row],[ID_Produit]]</f>
        <v>PomAv</v>
      </c>
      <c r="D6">
        <f>table_source_donnees[[#This Row],[Quantite_Commande]]</f>
        <v>3</v>
      </c>
      <c r="E6">
        <f>table_source_donnees[[#This Row],[Prix_Unitaire]]</f>
        <v>4000</v>
      </c>
      <c r="F6">
        <f>table_source_donnees[[#This Row],[Total_Ligne]]</f>
        <v>12000</v>
      </c>
      <c r="G6" t="str">
        <f>table_source_donnees[[#This Row],[Date_Commmande]]</f>
        <v>22/08/2025 21:44:06</v>
      </c>
      <c r="H6">
        <f>table_source_donnees[[#This Row],[ID_Client]]</f>
        <v>1</v>
      </c>
      <c r="I6" t="str">
        <f>table_source_donnees[[#This Row],[ID_Vendeur]]</f>
        <v>AliNgal</v>
      </c>
      <c r="J6" t="str">
        <f>table_source_donnees[[#This Row],[Statut_Commande]]</f>
        <v>Confirmée</v>
      </c>
      <c r="K6" t="str">
        <f>table_source_donnees[[#This Row],[Libellé_Produit]]</f>
        <v>Pomade avocat</v>
      </c>
      <c r="L6" t="str">
        <f>table_source_donnees[[#This Row],[Description_Produit]]</f>
        <v>Optionnel</v>
      </c>
      <c r="M6">
        <f>table_source_donnees[[#This Row],[Prix_Unitaire_Produit]]</f>
        <v>4000</v>
      </c>
      <c r="N6">
        <f>table_source_donnees[[#This Row],[Quantité_Stockée]]</f>
        <v>127</v>
      </c>
      <c r="O6" t="str">
        <f>table_source_donnees[[#This Row],[ID_Categorie_Produit]]</f>
        <v>Cosm</v>
      </c>
      <c r="P6">
        <f>table_source_donnees[[#This Row],[Image_Produit]]</f>
        <v>0</v>
      </c>
      <c r="Q6" t="str">
        <f>table_source_donnees[[#This Row],[Nom_Categorie_Produit]]</f>
        <v>Cosmétique</v>
      </c>
      <c r="R6" t="str">
        <f>table_source_donnees[[#This Row],[Description_Categorie]]</f>
        <v>Le meilleur des catégories</v>
      </c>
      <c r="S6" t="str">
        <f>table_source_donnees[[#This Row],[Nom_Client]]</f>
        <v>Tshibende</v>
      </c>
      <c r="T6" t="str">
        <f>table_source_donnees[[#This Row],[Prenom_Client]]</f>
        <v>Christelle</v>
      </c>
      <c r="U6" t="str">
        <f>table_source_donnees[[#This Row],[Genre_Client]]</f>
        <v>Féminin</v>
      </c>
      <c r="V6" t="str">
        <f>table_source_donnees[[#This Row],[Email_Client]]</f>
        <v>-</v>
      </c>
      <c r="W6">
        <f>table_source_donnees[[#This Row],[Telephone_Client]]</f>
        <v>983273816</v>
      </c>
      <c r="X6" t="str">
        <f>table_source_donnees[[#This Row],[Adresse_Client]]</f>
        <v>Masanga Mbila, Mont-Ngafula, Kinshasa</v>
      </c>
      <c r="Y6" t="str">
        <f>table_source_donnees[[#This Row],[Nom_Vendeur]]</f>
        <v>Ngalamulume</v>
      </c>
      <c r="Z6" t="str">
        <f>table_source_donnees[[#This Row],[Prenom_Vendeur]]</f>
        <v>Alidor</v>
      </c>
      <c r="AA6" t="str">
        <f>table_source_donnees[[#This Row],[Genre_Vendeur]]</f>
        <v>Masculin</v>
      </c>
      <c r="AB6" t="str">
        <f>table_source_donnees[[#This Row],[Email_Vendeur]]</f>
        <v>alidorngalamulume@gmail.com</v>
      </c>
      <c r="AC6">
        <f>table_source_donnees[[#This Row],[Telephone_Vendeur]]</f>
        <v>823673892</v>
      </c>
      <c r="AD6" t="str">
        <f>table_source_donnees[[#This Row],[Poste_Vendeur]]</f>
        <v>Gestionnaire des ventes</v>
      </c>
      <c r="AE6">
        <f>table_source_donnees[[#This Row],[Image_Vendeur]]</f>
        <v>0</v>
      </c>
      <c r="AF6" t="str">
        <f>table_source_donnees[[#This Row],[Etat_Donnees]]</f>
        <v>Initial</v>
      </c>
    </row>
    <row r="7" spans="1:32" x14ac:dyDescent="0.25">
      <c r="A7">
        <f>table_source_donnees[[#This Row],[ID_Ligne_Commande]]</f>
        <v>3</v>
      </c>
      <c r="B7">
        <f>table_source_donnees[[#This Row],[ID_Commande]]</f>
        <v>1</v>
      </c>
      <c r="C7" t="str">
        <f>table_source_donnees[[#This Row],[ID_Produit]]</f>
        <v>PomAv</v>
      </c>
      <c r="D7">
        <f>table_source_donnees[[#This Row],[Quantite_Commande]]</f>
        <v>10</v>
      </c>
      <c r="E7">
        <f>table_source_donnees[[#This Row],[Prix_Unitaire]]</f>
        <v>4000</v>
      </c>
      <c r="F7">
        <f>table_source_donnees[[#This Row],[Total_Ligne]]</f>
        <v>40000</v>
      </c>
      <c r="G7" t="str">
        <f>table_source_donnees[[#This Row],[Date_Commmande]]</f>
        <v>22/08/2025 21:44:06</v>
      </c>
      <c r="H7">
        <f>table_source_donnees[[#This Row],[ID_Client]]</f>
        <v>1</v>
      </c>
      <c r="I7" t="str">
        <f>table_source_donnees[[#This Row],[ID_Vendeur]]</f>
        <v>AliNgal</v>
      </c>
      <c r="J7" t="str">
        <f>table_source_donnees[[#This Row],[Statut_Commande]]</f>
        <v>Confirmée</v>
      </c>
      <c r="K7" t="str">
        <f>table_source_donnees[[#This Row],[Libellé_Produit]]</f>
        <v>Pomade avocat</v>
      </c>
      <c r="L7" t="str">
        <f>table_source_donnees[[#This Row],[Description_Produit]]</f>
        <v>Optionnel</v>
      </c>
      <c r="M7">
        <f>table_source_donnees[[#This Row],[Prix_Unitaire_Produit]]</f>
        <v>4000</v>
      </c>
      <c r="N7">
        <f>table_source_donnees[[#This Row],[Quantité_Stockée]]</f>
        <v>127</v>
      </c>
      <c r="O7" t="str">
        <f>table_source_donnees[[#This Row],[ID_Categorie_Produit]]</f>
        <v>Cosm</v>
      </c>
      <c r="P7">
        <f>table_source_donnees[[#This Row],[Image_Produit]]</f>
        <v>0</v>
      </c>
      <c r="Q7" t="str">
        <f>table_source_donnees[[#This Row],[Nom_Categorie_Produit]]</f>
        <v>Cosmétique</v>
      </c>
      <c r="R7" t="str">
        <f>table_source_donnees[[#This Row],[Description_Categorie]]</f>
        <v>Le meilleur des catégories</v>
      </c>
      <c r="S7" t="str">
        <f>table_source_donnees[[#This Row],[Nom_Client]]</f>
        <v>Tshibende</v>
      </c>
      <c r="T7" t="str">
        <f>table_source_donnees[[#This Row],[Prenom_Client]]</f>
        <v>Christelle</v>
      </c>
      <c r="U7" t="str">
        <f>table_source_donnees[[#This Row],[Genre_Client]]</f>
        <v>Féminin</v>
      </c>
      <c r="V7" t="str">
        <f>table_source_donnees[[#This Row],[Email_Client]]</f>
        <v>-</v>
      </c>
      <c r="W7">
        <f>table_source_donnees[[#This Row],[Telephone_Client]]</f>
        <v>983273816</v>
      </c>
      <c r="X7" t="str">
        <f>table_source_donnees[[#This Row],[Adresse_Client]]</f>
        <v>Masanga Mbila, Mont-Ngafula, Kinshasa</v>
      </c>
      <c r="Y7" t="str">
        <f>table_source_donnees[[#This Row],[Nom_Vendeur]]</f>
        <v>Ngalamulume</v>
      </c>
      <c r="Z7" t="str">
        <f>table_source_donnees[[#This Row],[Prenom_Vendeur]]</f>
        <v>Alidor</v>
      </c>
      <c r="AA7" t="str">
        <f>table_source_donnees[[#This Row],[Genre_Vendeur]]</f>
        <v>Masculin</v>
      </c>
      <c r="AB7" t="str">
        <f>table_source_donnees[[#This Row],[Email_Vendeur]]</f>
        <v>alidorngalamulume@gmail.com</v>
      </c>
      <c r="AC7">
        <f>table_source_donnees[[#This Row],[Telephone_Vendeur]]</f>
        <v>823673892</v>
      </c>
      <c r="AD7" t="str">
        <f>table_source_donnees[[#This Row],[Poste_Vendeur]]</f>
        <v>Gestionnaire des ventes</v>
      </c>
      <c r="AE7">
        <f>table_source_donnees[[#This Row],[Image_Vendeur]]</f>
        <v>0</v>
      </c>
      <c r="AF7" t="str">
        <f>table_source_donnees[[#This Row],[Etat_Donnees]]</f>
        <v>Modifié</v>
      </c>
    </row>
    <row r="8" spans="1:32" x14ac:dyDescent="0.25">
      <c r="A8">
        <f>table_source_donnees[[#This Row],[ID_Ligne_Commande]]</f>
        <v>5</v>
      </c>
      <c r="B8">
        <f>table_source_donnees[[#This Row],[ID_Commande]]</f>
        <v>2</v>
      </c>
      <c r="C8" t="str">
        <f>table_source_donnees[[#This Row],[ID_Produit]]</f>
        <v>Masca</v>
      </c>
      <c r="D8">
        <f>table_source_donnees[[#This Row],[Quantite_Commande]]</f>
        <v>3</v>
      </c>
      <c r="E8">
        <f>table_source_donnees[[#This Row],[Prix_Unitaire]]</f>
        <v>2500</v>
      </c>
      <c r="F8">
        <f>table_source_donnees[[#This Row],[Total_Ligne]]</f>
        <v>7500</v>
      </c>
      <c r="G8" t="str">
        <f>table_source_donnees[[#This Row],[Date_Commmande]]</f>
        <v>22/08/2025 21:57:50</v>
      </c>
      <c r="H8">
        <f>table_source_donnees[[#This Row],[ID_Client]]</f>
        <v>2</v>
      </c>
      <c r="I8" t="str">
        <f>table_source_donnees[[#This Row],[ID_Vendeur]]</f>
        <v>TshiAgn</v>
      </c>
      <c r="J8" t="str">
        <f>table_source_donnees[[#This Row],[Statut_Commande]]</f>
        <v>Confirmée</v>
      </c>
      <c r="K8" t="str">
        <f>table_source_donnees[[#This Row],[Libellé_Produit]]</f>
        <v>Mascara</v>
      </c>
      <c r="L8" t="str">
        <f>table_source_donnees[[#This Row],[Description_Produit]]</f>
        <v>Optionnel</v>
      </c>
      <c r="M8">
        <f>table_source_donnees[[#This Row],[Prix_Unitaire_Produit]]</f>
        <v>2500</v>
      </c>
      <c r="N8">
        <f>table_source_donnees[[#This Row],[Quantité_Stockée]]</f>
        <v>44</v>
      </c>
      <c r="O8" t="str">
        <f>table_source_donnees[[#This Row],[ID_Categorie_Produit]]</f>
        <v>Cosm</v>
      </c>
      <c r="P8">
        <f>table_source_donnees[[#This Row],[Image_Produit]]</f>
        <v>0</v>
      </c>
      <c r="Q8" t="str">
        <f>table_source_donnees[[#This Row],[Nom_Categorie_Produit]]</f>
        <v>Cosmétique</v>
      </c>
      <c r="R8" t="str">
        <f>table_source_donnees[[#This Row],[Description_Categorie]]</f>
        <v>Le meilleur des catégories</v>
      </c>
      <c r="S8" t="str">
        <f>table_source_donnees[[#This Row],[Nom_Client]]</f>
        <v>Tshibuabua</v>
      </c>
      <c r="T8" t="str">
        <f>table_source_donnees[[#This Row],[Prenom_Client]]</f>
        <v>Adella</v>
      </c>
      <c r="U8" t="str">
        <f>table_source_donnees[[#This Row],[Genre_Client]]</f>
        <v>Féminin</v>
      </c>
      <c r="V8" t="str">
        <f>table_source_donnees[[#This Row],[Email_Client]]</f>
        <v>-</v>
      </c>
      <c r="W8">
        <f>table_source_donnees[[#This Row],[Telephone_Client]]</f>
        <v>987364782</v>
      </c>
      <c r="X8" t="str">
        <f>table_source_donnees[[#This Row],[Adresse_Client]]</f>
        <v>Masanga-Mbila, Mont-Ngafula, Kinshasa</v>
      </c>
      <c r="Y8" t="str">
        <f>table_source_donnees[[#This Row],[Nom_Vendeur]]</f>
        <v>Tshiyoyi</v>
      </c>
      <c r="Z8" t="str">
        <f>table_source_donnees[[#This Row],[Prenom_Vendeur]]</f>
        <v>Agnès</v>
      </c>
      <c r="AA8" t="str">
        <f>table_source_donnees[[#This Row],[Genre_Vendeur]]</f>
        <v>Féminin</v>
      </c>
      <c r="AB8" t="str">
        <f>table_source_donnees[[#This Row],[Email_Vendeur]]</f>
        <v>tshiyoyiagnes@gmail.com</v>
      </c>
      <c r="AC8">
        <f>table_source_donnees[[#This Row],[Telephone_Vendeur]]</f>
        <v>928928292</v>
      </c>
      <c r="AD8" t="str">
        <f>table_source_donnees[[#This Row],[Poste_Vendeur]]</f>
        <v>Gestionnaire de ventes</v>
      </c>
      <c r="AE8">
        <f>table_source_donnees[[#This Row],[Image_Vendeur]]</f>
        <v>0</v>
      </c>
      <c r="AF8" t="str">
        <f>table_source_donnees[[#This Row],[Etat_Donnees]]</f>
        <v>Initial</v>
      </c>
    </row>
    <row r="9" spans="1:32" x14ac:dyDescent="0.25">
      <c r="A9">
        <f>table_source_donnees[[#This Row],[ID_Ligne_Commande]]</f>
        <v>6</v>
      </c>
      <c r="B9">
        <f>table_source_donnees[[#This Row],[ID_Commande]]</f>
        <v>0</v>
      </c>
      <c r="C9" t="str">
        <f>table_source_donnees[[#This Row],[ID_Produit]]</f>
        <v>Sel</v>
      </c>
      <c r="D9">
        <f>table_source_donnees[[#This Row],[Quantite_Commande]]</f>
        <v>2</v>
      </c>
      <c r="E9">
        <f>table_source_donnees[[#This Row],[Prix_Unitaire]]</f>
        <v>50000</v>
      </c>
      <c r="F9">
        <f>table_source_donnees[[#This Row],[Total_Ligne]]</f>
        <v>100000</v>
      </c>
      <c r="G9">
        <f>table_source_donnees[[#This Row],[Date_Commmande]]</f>
        <v>0</v>
      </c>
      <c r="H9">
        <f>table_source_donnees[[#This Row],[ID_Client]]</f>
        <v>0</v>
      </c>
      <c r="I9">
        <f>table_source_donnees[[#This Row],[ID_Vendeur]]</f>
        <v>0</v>
      </c>
      <c r="J9">
        <f>table_source_donnees[[#This Row],[Statut_Commande]]</f>
        <v>0</v>
      </c>
      <c r="K9" t="str">
        <f>table_source_donnees[[#This Row],[Libellé_Produit]]</f>
        <v>Sel de table</v>
      </c>
      <c r="L9" t="str">
        <f>table_source_donnees[[#This Row],[Description_Produit]]</f>
        <v>Optionnelle</v>
      </c>
      <c r="M9">
        <f>table_source_donnees[[#This Row],[Prix_Unitaire_Produit]]</f>
        <v>50000</v>
      </c>
      <c r="N9">
        <f>table_source_donnees[[#This Row],[Quantité_Stockée]]</f>
        <v>13</v>
      </c>
      <c r="O9" t="str">
        <f>table_source_donnees[[#This Row],[ID_Categorie_Produit]]</f>
        <v>Cuisi</v>
      </c>
      <c r="P9">
        <f>table_source_donnees[[#This Row],[Image_Produit]]</f>
        <v>0</v>
      </c>
      <c r="Q9" t="str">
        <f>table_source_donnees[[#This Row],[Nom_Categorie_Produit]]</f>
        <v>Cuisine</v>
      </c>
      <c r="R9" t="str">
        <f>table_source_donnees[[#This Row],[Description_Categorie]]</f>
        <v>Optionnel</v>
      </c>
      <c r="S9">
        <f>table_source_donnees[[#This Row],[Nom_Client]]</f>
        <v>0</v>
      </c>
      <c r="T9">
        <f>table_source_donnees[[#This Row],[Prenom_Client]]</f>
        <v>0</v>
      </c>
      <c r="U9">
        <f>table_source_donnees[[#This Row],[Genre_Client]]</f>
        <v>0</v>
      </c>
      <c r="V9">
        <f>table_source_donnees[[#This Row],[Email_Client]]</f>
        <v>0</v>
      </c>
      <c r="W9">
        <f>table_source_donnees[[#This Row],[Telephone_Client]]</f>
        <v>0</v>
      </c>
      <c r="X9">
        <f>table_source_donnees[[#This Row],[Adresse_Client]]</f>
        <v>0</v>
      </c>
      <c r="Y9">
        <f>table_source_donnees[[#This Row],[Nom_Vendeur]]</f>
        <v>0</v>
      </c>
      <c r="Z9">
        <f>table_source_donnees[[#This Row],[Prenom_Vendeur]]</f>
        <v>0</v>
      </c>
      <c r="AA9">
        <f>table_source_donnees[[#This Row],[Genre_Vendeur]]</f>
        <v>0</v>
      </c>
      <c r="AB9">
        <f>table_source_donnees[[#This Row],[Email_Vendeur]]</f>
        <v>0</v>
      </c>
      <c r="AC9">
        <f>table_source_donnees[[#This Row],[Telephone_Vendeur]]</f>
        <v>0</v>
      </c>
      <c r="AD9">
        <f>table_source_donnees[[#This Row],[Poste_Vendeur]]</f>
        <v>0</v>
      </c>
      <c r="AE9">
        <f>table_source_donnees[[#This Row],[Image_Vendeur]]</f>
        <v>0</v>
      </c>
      <c r="AF9" t="str">
        <f>table_source_donnees[[#This Row],[Etat_Donnees]]</f>
        <v>Initial</v>
      </c>
    </row>
    <row r="10" spans="1:32" x14ac:dyDescent="0.25">
      <c r="A10">
        <f>table_source_donnees[[#This Row],[ID_Ligne_Commande]]</f>
        <v>5</v>
      </c>
      <c r="B10">
        <f>table_source_donnees[[#This Row],[ID_Commande]]</f>
        <v>2</v>
      </c>
      <c r="C10" t="str">
        <f>table_source_donnees[[#This Row],[ID_Produit]]</f>
        <v>Masca</v>
      </c>
      <c r="D10">
        <f>table_source_donnees[[#This Row],[Quantite_Commande]]</f>
        <v>3</v>
      </c>
      <c r="E10">
        <f>table_source_donnees[[#This Row],[Prix_Unitaire]]</f>
        <v>2500</v>
      </c>
      <c r="F10">
        <f>table_source_donnees[[#This Row],[Total_Ligne]]</f>
        <v>7500</v>
      </c>
      <c r="G10" t="str">
        <f>table_source_donnees[[#This Row],[Date_Commmande]]</f>
        <v>22/08/2025 21:57:50</v>
      </c>
      <c r="H10">
        <f>table_source_donnees[[#This Row],[ID_Client]]</f>
        <v>2</v>
      </c>
      <c r="I10" t="str">
        <f>table_source_donnees[[#This Row],[ID_Vendeur]]</f>
        <v>TshiAgn</v>
      </c>
      <c r="J10" t="str">
        <f>table_source_donnees[[#This Row],[Statut_Commande]]</f>
        <v>Confirmée</v>
      </c>
      <c r="K10" t="str">
        <f>table_source_donnees[[#This Row],[Libellé_Produit]]</f>
        <v>Mascara</v>
      </c>
      <c r="L10" t="str">
        <f>table_source_donnees[[#This Row],[Description_Produit]]</f>
        <v>Optionnel</v>
      </c>
      <c r="M10">
        <f>table_source_donnees[[#This Row],[Prix_Unitaire_Produit]]</f>
        <v>2500</v>
      </c>
      <c r="N10">
        <f>table_source_donnees[[#This Row],[Quantité_Stockée]]</f>
        <v>47</v>
      </c>
      <c r="O10" t="str">
        <f>table_source_donnees[[#This Row],[ID_Categorie_Produit]]</f>
        <v>Cosm</v>
      </c>
      <c r="P10">
        <f>table_source_donnees[[#This Row],[Image_Produit]]</f>
        <v>0</v>
      </c>
      <c r="Q10" t="str">
        <f>table_source_donnees[[#This Row],[Nom_Categorie_Produit]]</f>
        <v>Cosmétique</v>
      </c>
      <c r="R10" t="str">
        <f>table_source_donnees[[#This Row],[Description_Categorie]]</f>
        <v>Le meilleur des catégories</v>
      </c>
      <c r="S10" t="str">
        <f>table_source_donnees[[#This Row],[Nom_Client]]</f>
        <v>Tshibuabua</v>
      </c>
      <c r="T10" t="str">
        <f>table_source_donnees[[#This Row],[Prenom_Client]]</f>
        <v>Adella</v>
      </c>
      <c r="U10" t="str">
        <f>table_source_donnees[[#This Row],[Genre_Client]]</f>
        <v>Féminin</v>
      </c>
      <c r="V10" t="str">
        <f>table_source_donnees[[#This Row],[Email_Client]]</f>
        <v>-</v>
      </c>
      <c r="W10">
        <f>table_source_donnees[[#This Row],[Telephone_Client]]</f>
        <v>987364782</v>
      </c>
      <c r="X10" t="str">
        <f>table_source_donnees[[#This Row],[Adresse_Client]]</f>
        <v>Masanga-Mbila, Mont-Ngafula, Kinshasa</v>
      </c>
      <c r="Y10" t="str">
        <f>table_source_donnees[[#This Row],[Nom_Vendeur]]</f>
        <v>Tshiyoyi</v>
      </c>
      <c r="Z10" t="str">
        <f>table_source_donnees[[#This Row],[Prenom_Vendeur]]</f>
        <v>Agnès</v>
      </c>
      <c r="AA10" t="str">
        <f>table_source_donnees[[#This Row],[Genre_Vendeur]]</f>
        <v>Féminin</v>
      </c>
      <c r="AB10" t="str">
        <f>table_source_donnees[[#This Row],[Email_Vendeur]]</f>
        <v>tshiyoyiagnes@gmail.com</v>
      </c>
      <c r="AC10">
        <f>table_source_donnees[[#This Row],[Telephone_Vendeur]]</f>
        <v>928928292</v>
      </c>
      <c r="AD10" t="str">
        <f>table_source_donnees[[#This Row],[Poste_Vendeur]]</f>
        <v>Gestionnaire de ventes</v>
      </c>
      <c r="AE10">
        <f>table_source_donnees[[#This Row],[Image_Vendeur]]</f>
        <v>0</v>
      </c>
      <c r="AF10" t="str">
        <f>table_source_donnees[[#This Row],[Etat_Donnees]]</f>
        <v>Modifié</v>
      </c>
    </row>
    <row r="11" spans="1:32" x14ac:dyDescent="0.25">
      <c r="A11">
        <f>table_source_donnees[[#This Row],[ID_Ligne_Commande]]</f>
        <v>7</v>
      </c>
      <c r="B11">
        <f>table_source_donnees[[#This Row],[ID_Commande]]</f>
        <v>0</v>
      </c>
      <c r="C11" t="str">
        <f>table_source_donnees[[#This Row],[ID_Produit]]</f>
        <v>Sel</v>
      </c>
      <c r="D11">
        <f>table_source_donnees[[#This Row],[Quantite_Commande]]</f>
        <v>1</v>
      </c>
      <c r="E11">
        <f>table_source_donnees[[#This Row],[Prix_Unitaire]]</f>
        <v>50000</v>
      </c>
      <c r="F11">
        <f>table_source_donnees[[#This Row],[Total_Ligne]]</f>
        <v>50000</v>
      </c>
      <c r="G11">
        <f>table_source_donnees[[#This Row],[Date_Commmande]]</f>
        <v>0</v>
      </c>
      <c r="H11">
        <f>table_source_donnees[[#This Row],[ID_Client]]</f>
        <v>0</v>
      </c>
      <c r="I11">
        <f>table_source_donnees[[#This Row],[ID_Vendeur]]</f>
        <v>0</v>
      </c>
      <c r="J11">
        <f>table_source_donnees[[#This Row],[Statut_Commande]]</f>
        <v>0</v>
      </c>
      <c r="K11" t="str">
        <f>table_source_donnees[[#This Row],[Libellé_Produit]]</f>
        <v>Sel de table</v>
      </c>
      <c r="L11" t="str">
        <f>table_source_donnees[[#This Row],[Description_Produit]]</f>
        <v>Optionnelle</v>
      </c>
      <c r="M11">
        <f>table_source_donnees[[#This Row],[Prix_Unitaire_Produit]]</f>
        <v>50000</v>
      </c>
      <c r="N11">
        <f>table_source_donnees[[#This Row],[Quantité_Stockée]]</f>
        <v>12</v>
      </c>
      <c r="O11" t="str">
        <f>table_source_donnees[[#This Row],[ID_Categorie_Produit]]</f>
        <v>Cuisi</v>
      </c>
      <c r="P11">
        <f>table_source_donnees[[#This Row],[Image_Produit]]</f>
        <v>0</v>
      </c>
      <c r="Q11" t="str">
        <f>table_source_donnees[[#This Row],[Nom_Categorie_Produit]]</f>
        <v>Cuisine</v>
      </c>
      <c r="R11" t="str">
        <f>table_source_donnees[[#This Row],[Description_Categorie]]</f>
        <v>Optionnel</v>
      </c>
      <c r="S11">
        <f>table_source_donnees[[#This Row],[Nom_Client]]</f>
        <v>0</v>
      </c>
      <c r="T11">
        <f>table_source_donnees[[#This Row],[Prenom_Client]]</f>
        <v>0</v>
      </c>
      <c r="U11">
        <f>table_source_donnees[[#This Row],[Genre_Client]]</f>
        <v>0</v>
      </c>
      <c r="V11">
        <f>table_source_donnees[[#This Row],[Email_Client]]</f>
        <v>0</v>
      </c>
      <c r="W11">
        <f>table_source_donnees[[#This Row],[Telephone_Client]]</f>
        <v>0</v>
      </c>
      <c r="X11">
        <f>table_source_donnees[[#This Row],[Adresse_Client]]</f>
        <v>0</v>
      </c>
      <c r="Y11">
        <f>table_source_donnees[[#This Row],[Nom_Vendeur]]</f>
        <v>0</v>
      </c>
      <c r="Z11">
        <f>table_source_donnees[[#This Row],[Prenom_Vendeur]]</f>
        <v>0</v>
      </c>
      <c r="AA11">
        <f>table_source_donnees[[#This Row],[Genre_Vendeur]]</f>
        <v>0</v>
      </c>
      <c r="AB11">
        <f>table_source_donnees[[#This Row],[Email_Vendeur]]</f>
        <v>0</v>
      </c>
      <c r="AC11">
        <f>table_source_donnees[[#This Row],[Telephone_Vendeur]]</f>
        <v>0</v>
      </c>
      <c r="AD11">
        <f>table_source_donnees[[#This Row],[Poste_Vendeur]]</f>
        <v>0</v>
      </c>
      <c r="AE11">
        <f>table_source_donnees[[#This Row],[Image_Vendeur]]</f>
        <v>0</v>
      </c>
      <c r="AF11" t="str">
        <f>table_source_donnees[[#This Row],[Etat_Donnees]]</f>
        <v>Initial</v>
      </c>
    </row>
    <row r="12" spans="1:32" x14ac:dyDescent="0.25">
      <c r="A12">
        <f>table_source_donnees[[#This Row],[ID_Ligne_Commande]]</f>
        <v>8</v>
      </c>
      <c r="B12">
        <f>table_source_donnees[[#This Row],[ID_Commande]]</f>
        <v>2</v>
      </c>
      <c r="C12" t="str">
        <f>table_source_donnees[[#This Row],[ID_Produit]]</f>
        <v>Toma2</v>
      </c>
      <c r="D12">
        <f>table_source_donnees[[#This Row],[Quantite_Commande]]</f>
        <v>10</v>
      </c>
      <c r="E12">
        <f>table_source_donnees[[#This Row],[Prix_Unitaire]]</f>
        <v>450</v>
      </c>
      <c r="F12">
        <f>table_source_donnees[[#This Row],[Total_Ligne]]</f>
        <v>4500</v>
      </c>
      <c r="G12" t="str">
        <f>table_source_donnees[[#This Row],[Date_Commmande]]</f>
        <v>22/08/2025 21:57:50</v>
      </c>
      <c r="H12">
        <f>table_source_donnees[[#This Row],[ID_Client]]</f>
        <v>2</v>
      </c>
      <c r="I12" t="str">
        <f>table_source_donnees[[#This Row],[ID_Vendeur]]</f>
        <v>TshiAgn</v>
      </c>
      <c r="J12" t="str">
        <f>table_source_donnees[[#This Row],[Statut_Commande]]</f>
        <v>Confirmée</v>
      </c>
      <c r="K12" t="str">
        <f>table_source_donnees[[#This Row],[Libellé_Produit]]</f>
        <v>Tomate Suisse</v>
      </c>
      <c r="L12" t="str">
        <f>table_source_donnees[[#This Row],[Description_Produit]]</f>
        <v>-</v>
      </c>
      <c r="M12">
        <f>table_source_donnees[[#This Row],[Prix_Unitaire_Produit]]</f>
        <v>450</v>
      </c>
      <c r="N12">
        <f>table_source_donnees[[#This Row],[Quantité_Stockée]]</f>
        <v>290</v>
      </c>
      <c r="O12" t="str">
        <f>table_source_donnees[[#This Row],[ID_Categorie_Produit]]</f>
        <v>Cuisi</v>
      </c>
      <c r="P12">
        <f>table_source_donnees[[#This Row],[Image_Produit]]</f>
        <v>0</v>
      </c>
      <c r="Q12" t="str">
        <f>table_source_donnees[[#This Row],[Nom_Categorie_Produit]]</f>
        <v>Cuisine</v>
      </c>
      <c r="R12" t="str">
        <f>table_source_donnees[[#This Row],[Description_Categorie]]</f>
        <v>Optionnel</v>
      </c>
      <c r="S12" t="str">
        <f>table_source_donnees[[#This Row],[Nom_Client]]</f>
        <v>Tshibuabua</v>
      </c>
      <c r="T12" t="str">
        <f>table_source_donnees[[#This Row],[Prenom_Client]]</f>
        <v>Adella</v>
      </c>
      <c r="U12" t="str">
        <f>table_source_donnees[[#This Row],[Genre_Client]]</f>
        <v>Féminin</v>
      </c>
      <c r="V12" t="str">
        <f>table_source_donnees[[#This Row],[Email_Client]]</f>
        <v>-</v>
      </c>
      <c r="W12">
        <f>table_source_donnees[[#This Row],[Telephone_Client]]</f>
        <v>987364782</v>
      </c>
      <c r="X12" t="str">
        <f>table_source_donnees[[#This Row],[Adresse_Client]]</f>
        <v>Masanga-Mbila, Mont-Ngafula, Kinshasa</v>
      </c>
      <c r="Y12" t="str">
        <f>table_source_donnees[[#This Row],[Nom_Vendeur]]</f>
        <v>Tshiyoyi</v>
      </c>
      <c r="Z12" t="str">
        <f>table_source_donnees[[#This Row],[Prenom_Vendeur]]</f>
        <v>Agnès</v>
      </c>
      <c r="AA12" t="str">
        <f>table_source_donnees[[#This Row],[Genre_Vendeur]]</f>
        <v>Féminin</v>
      </c>
      <c r="AB12" t="str">
        <f>table_source_donnees[[#This Row],[Email_Vendeur]]</f>
        <v>tshiyoyiagnes@gmail.com</v>
      </c>
      <c r="AC12">
        <f>table_source_donnees[[#This Row],[Telephone_Vendeur]]</f>
        <v>928928292</v>
      </c>
      <c r="AD12" t="str">
        <f>table_source_donnees[[#This Row],[Poste_Vendeur]]</f>
        <v>Gestionnaire de ventes</v>
      </c>
      <c r="AE12">
        <f>table_source_donnees[[#This Row],[Image_Vendeur]]</f>
        <v>0</v>
      </c>
      <c r="AF12" t="str">
        <f>table_source_donnees[[#This Row],[Etat_Donnees]]</f>
        <v>Initial</v>
      </c>
    </row>
    <row r="13" spans="1:32" x14ac:dyDescent="0.25">
      <c r="A13">
        <f>table_source_donnees[[#This Row],[ID_Ligne_Commande]]</f>
        <v>8</v>
      </c>
      <c r="B13">
        <f>table_source_donnees[[#This Row],[ID_Commande]]</f>
        <v>2</v>
      </c>
      <c r="C13" t="str">
        <f>table_source_donnees[[#This Row],[ID_Produit]]</f>
        <v>Toma2</v>
      </c>
      <c r="D13">
        <f>table_source_donnees[[#This Row],[Quantite_Commande]]</f>
        <v>11</v>
      </c>
      <c r="E13">
        <f>table_source_donnees[[#This Row],[Prix_Unitaire]]</f>
        <v>450</v>
      </c>
      <c r="F13">
        <f>table_source_donnees[[#This Row],[Total_Ligne]]</f>
        <v>4950</v>
      </c>
      <c r="G13" t="str">
        <f>table_source_donnees[[#This Row],[Date_Commmande]]</f>
        <v>22/08/2025 21:57:50</v>
      </c>
      <c r="H13">
        <f>table_source_donnees[[#This Row],[ID_Client]]</f>
        <v>2</v>
      </c>
      <c r="I13" t="str">
        <f>table_source_donnees[[#This Row],[ID_Vendeur]]</f>
        <v>TshiAgn</v>
      </c>
      <c r="J13" t="str">
        <f>table_source_donnees[[#This Row],[Statut_Commande]]</f>
        <v>Confirmée</v>
      </c>
      <c r="K13" t="str">
        <f>table_source_donnees[[#This Row],[Libellé_Produit]]</f>
        <v>Tomate Suisse</v>
      </c>
      <c r="L13" t="str">
        <f>table_source_donnees[[#This Row],[Description_Produit]]</f>
        <v>-</v>
      </c>
      <c r="M13">
        <f>table_source_donnees[[#This Row],[Prix_Unitaire_Produit]]</f>
        <v>450</v>
      </c>
      <c r="N13">
        <f>table_source_donnees[[#This Row],[Quantité_Stockée]]</f>
        <v>289</v>
      </c>
      <c r="O13" t="str">
        <f>table_source_donnees[[#This Row],[ID_Categorie_Produit]]</f>
        <v>Cuisi</v>
      </c>
      <c r="P13">
        <f>table_source_donnees[[#This Row],[Image_Produit]]</f>
        <v>0</v>
      </c>
      <c r="Q13" t="str">
        <f>table_source_donnees[[#This Row],[Nom_Categorie_Produit]]</f>
        <v>Cuisine</v>
      </c>
      <c r="R13" t="str">
        <f>table_source_donnees[[#This Row],[Description_Categorie]]</f>
        <v>Optionnel</v>
      </c>
      <c r="S13" t="str">
        <f>table_source_donnees[[#This Row],[Nom_Client]]</f>
        <v>Tshibuabua</v>
      </c>
      <c r="T13" t="str">
        <f>table_source_donnees[[#This Row],[Prenom_Client]]</f>
        <v>Adella</v>
      </c>
      <c r="U13" t="str">
        <f>table_source_donnees[[#This Row],[Genre_Client]]</f>
        <v>Féminin</v>
      </c>
      <c r="V13" t="str">
        <f>table_source_donnees[[#This Row],[Email_Client]]</f>
        <v>-</v>
      </c>
      <c r="W13">
        <f>table_source_donnees[[#This Row],[Telephone_Client]]</f>
        <v>987364782</v>
      </c>
      <c r="X13" t="str">
        <f>table_source_donnees[[#This Row],[Adresse_Client]]</f>
        <v>Masanga-Mbila, Mont-Ngafula, Kinshasa</v>
      </c>
      <c r="Y13" t="str">
        <f>table_source_donnees[[#This Row],[Nom_Vendeur]]</f>
        <v>Tshiyoyi</v>
      </c>
      <c r="Z13" t="str">
        <f>table_source_donnees[[#This Row],[Prenom_Vendeur]]</f>
        <v>Agnès</v>
      </c>
      <c r="AA13" t="str">
        <f>table_source_donnees[[#This Row],[Genre_Vendeur]]</f>
        <v>Féminin</v>
      </c>
      <c r="AB13" t="str">
        <f>table_source_donnees[[#This Row],[Email_Vendeur]]</f>
        <v>tshiyoyiagnes@gmail.com</v>
      </c>
      <c r="AC13">
        <f>table_source_donnees[[#This Row],[Telephone_Vendeur]]</f>
        <v>928928292</v>
      </c>
      <c r="AD13" t="str">
        <f>table_source_donnees[[#This Row],[Poste_Vendeur]]</f>
        <v>Gestionnaire de ventes</v>
      </c>
      <c r="AE13">
        <f>table_source_donnees[[#This Row],[Image_Vendeur]]</f>
        <v>0</v>
      </c>
      <c r="AF13" t="str">
        <f>table_source_donnees[[#This Row],[Etat_Donnees]]</f>
        <v>Modifié</v>
      </c>
    </row>
    <row r="14" spans="1:32" x14ac:dyDescent="0.25">
      <c r="A14">
        <f>table_source_donnees[[#This Row],[ID_Ligne_Commande]]</f>
        <v>9</v>
      </c>
      <c r="B14">
        <f>table_source_donnees[[#This Row],[ID_Commande]]</f>
        <v>2</v>
      </c>
      <c r="C14" t="str">
        <f>table_source_donnees[[#This Row],[ID_Produit]]</f>
        <v>PomAv</v>
      </c>
      <c r="D14">
        <f>table_source_donnees[[#This Row],[Quantite_Commande]]</f>
        <v>2</v>
      </c>
      <c r="E14">
        <f>table_source_donnees[[#This Row],[Prix_Unitaire]]</f>
        <v>4000</v>
      </c>
      <c r="F14">
        <f>table_source_donnees[[#This Row],[Total_Ligne]]</f>
        <v>8000</v>
      </c>
      <c r="G14" t="str">
        <f>table_source_donnees[[#This Row],[Date_Commmande]]</f>
        <v>22/08/2025 21:57:50</v>
      </c>
      <c r="H14">
        <f>table_source_donnees[[#This Row],[ID_Client]]</f>
        <v>2</v>
      </c>
      <c r="I14" t="str">
        <f>table_source_donnees[[#This Row],[ID_Vendeur]]</f>
        <v>TshiAgn</v>
      </c>
      <c r="J14" t="str">
        <f>table_source_donnees[[#This Row],[Statut_Commande]]</f>
        <v>Confirmée</v>
      </c>
      <c r="K14" t="str">
        <f>table_source_donnees[[#This Row],[Libellé_Produit]]</f>
        <v>Pomade avocat</v>
      </c>
      <c r="L14" t="str">
        <f>table_source_donnees[[#This Row],[Description_Produit]]</f>
        <v>Optionnel</v>
      </c>
      <c r="M14">
        <f>table_source_donnees[[#This Row],[Prix_Unitaire_Produit]]</f>
        <v>4000</v>
      </c>
      <c r="N14">
        <f>table_source_donnees[[#This Row],[Quantité_Stockée]]</f>
        <v>125</v>
      </c>
      <c r="O14" t="str">
        <f>table_source_donnees[[#This Row],[ID_Categorie_Produit]]</f>
        <v>Cosm</v>
      </c>
      <c r="P14">
        <f>table_source_donnees[[#This Row],[Image_Produit]]</f>
        <v>0</v>
      </c>
      <c r="Q14" t="str">
        <f>table_source_donnees[[#This Row],[Nom_Categorie_Produit]]</f>
        <v>Cosmétique</v>
      </c>
      <c r="R14" t="str">
        <f>table_source_donnees[[#This Row],[Description_Categorie]]</f>
        <v>Le meilleur des catégories</v>
      </c>
      <c r="S14" t="str">
        <f>table_source_donnees[[#This Row],[Nom_Client]]</f>
        <v>Tshibuabua</v>
      </c>
      <c r="T14" t="str">
        <f>table_source_donnees[[#This Row],[Prenom_Client]]</f>
        <v>Adella</v>
      </c>
      <c r="U14" t="str">
        <f>table_source_donnees[[#This Row],[Genre_Client]]</f>
        <v>Féminin</v>
      </c>
      <c r="V14" t="str">
        <f>table_source_donnees[[#This Row],[Email_Client]]</f>
        <v>-</v>
      </c>
      <c r="W14">
        <f>table_source_donnees[[#This Row],[Telephone_Client]]</f>
        <v>987364782</v>
      </c>
      <c r="X14" t="str">
        <f>table_source_donnees[[#This Row],[Adresse_Client]]</f>
        <v>Masanga-Mbila, Mont-Ngafula, Kinshasa</v>
      </c>
      <c r="Y14" t="str">
        <f>table_source_donnees[[#This Row],[Nom_Vendeur]]</f>
        <v>Tshiyoyi</v>
      </c>
      <c r="Z14" t="str">
        <f>table_source_donnees[[#This Row],[Prenom_Vendeur]]</f>
        <v>Agnès</v>
      </c>
      <c r="AA14" t="str">
        <f>table_source_donnees[[#This Row],[Genre_Vendeur]]</f>
        <v>Féminin</v>
      </c>
      <c r="AB14" t="str">
        <f>table_source_donnees[[#This Row],[Email_Vendeur]]</f>
        <v>tshiyoyiagnes@gmail.com</v>
      </c>
      <c r="AC14">
        <f>table_source_donnees[[#This Row],[Telephone_Vendeur]]</f>
        <v>928928292</v>
      </c>
      <c r="AD14" t="str">
        <f>table_source_donnees[[#This Row],[Poste_Vendeur]]</f>
        <v>Gestionnaire de ventes</v>
      </c>
      <c r="AE14">
        <f>table_source_donnees[[#This Row],[Image_Vendeur]]</f>
        <v>0</v>
      </c>
      <c r="AF14" t="str">
        <f>table_source_donnees[[#This Row],[Etat_Donnees]]</f>
        <v>Initial</v>
      </c>
    </row>
    <row r="15" spans="1:32" x14ac:dyDescent="0.25">
      <c r="A15">
        <f>table_source_donnees[[#This Row],[ID_Ligne_Commande]]</f>
        <v>10</v>
      </c>
      <c r="B15">
        <f>table_source_donnees[[#This Row],[ID_Commande]]</f>
        <v>4</v>
      </c>
      <c r="C15" t="str">
        <f>table_source_donnees[[#This Row],[ID_Produit]]</f>
        <v>Sel</v>
      </c>
      <c r="D15">
        <f>table_source_donnees[[#This Row],[Quantite_Commande]]</f>
        <v>2</v>
      </c>
      <c r="E15">
        <f>table_source_donnees[[#This Row],[Prix_Unitaire]]</f>
        <v>50000</v>
      </c>
      <c r="F15">
        <f>table_source_donnees[[#This Row],[Total_Ligne]]</f>
        <v>100000</v>
      </c>
      <c r="G15" t="str">
        <f>table_source_donnees[[#This Row],[Date_Commmande]]</f>
        <v>23/08/2025 11:55:07</v>
      </c>
      <c r="H15">
        <f>table_source_donnees[[#This Row],[ID_Client]]</f>
        <v>2</v>
      </c>
      <c r="I15" t="str">
        <f>table_source_donnees[[#This Row],[ID_Vendeur]]</f>
        <v>TshiAgn</v>
      </c>
      <c r="J15" t="str">
        <f>table_source_donnees[[#This Row],[Statut_Commande]]</f>
        <v>Confirmée</v>
      </c>
      <c r="K15" t="str">
        <f>table_source_donnees[[#This Row],[Libellé_Produit]]</f>
        <v>Sel de table</v>
      </c>
      <c r="L15" t="str">
        <f>table_source_donnees[[#This Row],[Description_Produit]]</f>
        <v>Optionnelle</v>
      </c>
      <c r="M15">
        <f>table_source_donnees[[#This Row],[Prix_Unitaire_Produit]]</f>
        <v>50000</v>
      </c>
      <c r="N15">
        <f>table_source_donnees[[#This Row],[Quantité_Stockée]]</f>
        <v>10</v>
      </c>
      <c r="O15" t="str">
        <f>table_source_donnees[[#This Row],[ID_Categorie_Produit]]</f>
        <v>Cuisi</v>
      </c>
      <c r="P15">
        <f>table_source_donnees[[#This Row],[Image_Produit]]</f>
        <v>0</v>
      </c>
      <c r="Q15" t="str">
        <f>table_source_donnees[[#This Row],[Nom_Categorie_Produit]]</f>
        <v>Cuisine</v>
      </c>
      <c r="R15" t="str">
        <f>table_source_donnees[[#This Row],[Description_Categorie]]</f>
        <v>Optionnel</v>
      </c>
      <c r="S15" t="str">
        <f>table_source_donnees[[#This Row],[Nom_Client]]</f>
        <v>Tshibuabua</v>
      </c>
      <c r="T15" t="str">
        <f>table_source_donnees[[#This Row],[Prenom_Client]]</f>
        <v>Adella</v>
      </c>
      <c r="U15" t="str">
        <f>table_source_donnees[[#This Row],[Genre_Client]]</f>
        <v>Féminin</v>
      </c>
      <c r="V15" t="str">
        <f>table_source_donnees[[#This Row],[Email_Client]]</f>
        <v>-</v>
      </c>
      <c r="W15">
        <f>table_source_donnees[[#This Row],[Telephone_Client]]</f>
        <v>987364782</v>
      </c>
      <c r="X15" t="str">
        <f>table_source_donnees[[#This Row],[Adresse_Client]]</f>
        <v>Masanga-Mbila, Mont-Ngafula, Kinshasa</v>
      </c>
      <c r="Y15" t="str">
        <f>table_source_donnees[[#This Row],[Nom_Vendeur]]</f>
        <v>Tshiyoyi</v>
      </c>
      <c r="Z15" t="str">
        <f>table_source_donnees[[#This Row],[Prenom_Vendeur]]</f>
        <v>Agnès</v>
      </c>
      <c r="AA15" t="str">
        <f>table_source_donnees[[#This Row],[Genre_Vendeur]]</f>
        <v>Féminin</v>
      </c>
      <c r="AB15" t="str">
        <f>table_source_donnees[[#This Row],[Email_Vendeur]]</f>
        <v>tshiyoyiagnes@gmail.com</v>
      </c>
      <c r="AC15">
        <f>table_source_donnees[[#This Row],[Telephone_Vendeur]]</f>
        <v>928928292</v>
      </c>
      <c r="AD15" t="str">
        <f>table_source_donnees[[#This Row],[Poste_Vendeur]]</f>
        <v>Gestionnaire des ventes</v>
      </c>
      <c r="AE15">
        <f>table_source_donnees[[#This Row],[Image_Vendeur]]</f>
        <v>0</v>
      </c>
      <c r="AF15" t="str">
        <f>table_source_donnees[[#This Row],[Etat_Donnees]]</f>
        <v>Initial</v>
      </c>
    </row>
    <row r="16" spans="1:32" x14ac:dyDescent="0.25">
      <c r="A16">
        <f>table_source_donnees[[#This Row],[ID_Ligne_Commande]]</f>
        <v>11</v>
      </c>
      <c r="B16">
        <f>table_source_donnees[[#This Row],[ID_Commande]]</f>
        <v>1</v>
      </c>
      <c r="C16" t="str">
        <f>table_source_donnees[[#This Row],[ID_Produit]]</f>
        <v>Cray</v>
      </c>
      <c r="D16">
        <f>table_source_donnees[[#This Row],[Quantite_Commande]]</f>
        <v>10</v>
      </c>
      <c r="E16">
        <f>table_source_donnees[[#This Row],[Prix_Unitaire]]</f>
        <v>1500</v>
      </c>
      <c r="F16">
        <f>table_source_donnees[[#This Row],[Total_Ligne]]</f>
        <v>15000</v>
      </c>
      <c r="G16" t="str">
        <f>table_source_donnees[[#This Row],[Date_Commmande]]</f>
        <v>22/08/2025 21:44:06</v>
      </c>
      <c r="H16">
        <f>table_source_donnees[[#This Row],[ID_Client]]</f>
        <v>1</v>
      </c>
      <c r="I16" t="str">
        <f>table_source_donnees[[#This Row],[ID_Vendeur]]</f>
        <v>AliNgal</v>
      </c>
      <c r="J16" t="str">
        <f>table_source_donnees[[#This Row],[Statut_Commande]]</f>
        <v>Confirmée</v>
      </c>
      <c r="K16" t="str">
        <f>table_source_donnees[[#This Row],[Libellé_Produit]]</f>
        <v>Crayon Cils</v>
      </c>
      <c r="L16" t="str">
        <f>table_source_donnees[[#This Row],[Description_Produit]]</f>
        <v>Optionnel</v>
      </c>
      <c r="M16">
        <f>table_source_donnees[[#This Row],[Prix_Unitaire_Produit]]</f>
        <v>1500</v>
      </c>
      <c r="N16">
        <f>table_source_donnees[[#This Row],[Quantité_Stockée]]</f>
        <v>164</v>
      </c>
      <c r="O16" t="str">
        <f>table_source_donnees[[#This Row],[ID_Categorie_Produit]]</f>
        <v>Cosm</v>
      </c>
      <c r="P16">
        <f>table_source_donnees[[#This Row],[Image_Produit]]</f>
        <v>0</v>
      </c>
      <c r="Q16" t="str">
        <f>table_source_donnees[[#This Row],[Nom_Categorie_Produit]]</f>
        <v>Cosmétique</v>
      </c>
      <c r="R16" t="str">
        <f>table_source_donnees[[#This Row],[Description_Categorie]]</f>
        <v>Le meilleur des catégories</v>
      </c>
      <c r="S16" t="str">
        <f>table_source_donnees[[#This Row],[Nom_Client]]</f>
        <v>Tshibende</v>
      </c>
      <c r="T16" t="str">
        <f>table_source_donnees[[#This Row],[Prenom_Client]]</f>
        <v>Christelle</v>
      </c>
      <c r="U16" t="str">
        <f>table_source_donnees[[#This Row],[Genre_Client]]</f>
        <v>Féminin</v>
      </c>
      <c r="V16" t="str">
        <f>table_source_donnees[[#This Row],[Email_Client]]</f>
        <v>-</v>
      </c>
      <c r="W16">
        <f>table_source_donnees[[#This Row],[Telephone_Client]]</f>
        <v>983273816</v>
      </c>
      <c r="X16" t="str">
        <f>table_source_donnees[[#This Row],[Adresse_Client]]</f>
        <v>Masanga Mbila, Mont-Ngafula, Kinshasa</v>
      </c>
      <c r="Y16" t="str">
        <f>table_source_donnees[[#This Row],[Nom_Vendeur]]</f>
        <v>Ngalamulume</v>
      </c>
      <c r="Z16" t="str">
        <f>table_source_donnees[[#This Row],[Prenom_Vendeur]]</f>
        <v>Alidor</v>
      </c>
      <c r="AA16" t="str">
        <f>table_source_donnees[[#This Row],[Genre_Vendeur]]</f>
        <v>Masculin</v>
      </c>
      <c r="AB16" t="str">
        <f>table_source_donnees[[#This Row],[Email_Vendeur]]</f>
        <v>alidorngalamulume@gmail.com</v>
      </c>
      <c r="AC16">
        <f>table_source_donnees[[#This Row],[Telephone_Vendeur]]</f>
        <v>823673892</v>
      </c>
      <c r="AD16" t="str">
        <f>table_source_donnees[[#This Row],[Poste_Vendeur]]</f>
        <v>Gestionnaire des ventes</v>
      </c>
      <c r="AE16">
        <f>table_source_donnees[[#This Row],[Image_Vendeur]]</f>
        <v>0</v>
      </c>
      <c r="AF16" t="str">
        <f>table_source_donnees[[#This Row],[Etat_Donnees]]</f>
        <v>Initial</v>
      </c>
    </row>
    <row r="17" spans="1:32" x14ac:dyDescent="0.25">
      <c r="A17">
        <f>table_source_donnees[[#This Row],[ID_Ligne_Commande]]</f>
        <v>12</v>
      </c>
      <c r="B17">
        <f>table_source_donnees[[#This Row],[ID_Commande]]</f>
        <v>1</v>
      </c>
      <c r="C17" t="str">
        <f>table_source_donnees[[#This Row],[ID_Produit]]</f>
        <v>PomAv</v>
      </c>
      <c r="D17">
        <f>table_source_donnees[[#This Row],[Quantite_Commande]]</f>
        <v>2</v>
      </c>
      <c r="E17">
        <f>table_source_donnees[[#This Row],[Prix_Unitaire]]</f>
        <v>4000</v>
      </c>
      <c r="F17">
        <f>table_source_donnees[[#This Row],[Total_Ligne]]</f>
        <v>8000</v>
      </c>
      <c r="G17" t="str">
        <f>table_source_donnees[[#This Row],[Date_Commmande]]</f>
        <v>22/08/2025 21:44:06</v>
      </c>
      <c r="H17">
        <f>table_source_donnees[[#This Row],[ID_Client]]</f>
        <v>1</v>
      </c>
      <c r="I17" t="str">
        <f>table_source_donnees[[#This Row],[ID_Vendeur]]</f>
        <v>AliNgal</v>
      </c>
      <c r="J17" t="str">
        <f>table_source_donnees[[#This Row],[Statut_Commande]]</f>
        <v>Confirmée</v>
      </c>
      <c r="K17" t="str">
        <f>table_source_donnees[[#This Row],[Libellé_Produit]]</f>
        <v>Pomade avocat</v>
      </c>
      <c r="L17" t="str">
        <f>table_source_donnees[[#This Row],[Description_Produit]]</f>
        <v>Optionnel</v>
      </c>
      <c r="M17">
        <f>table_source_donnees[[#This Row],[Prix_Unitaire_Produit]]</f>
        <v>4000</v>
      </c>
      <c r="N17">
        <f>table_source_donnees[[#This Row],[Quantité_Stockée]]</f>
        <v>123</v>
      </c>
      <c r="O17" t="str">
        <f>table_source_donnees[[#This Row],[ID_Categorie_Produit]]</f>
        <v>Cosm</v>
      </c>
      <c r="P17">
        <f>table_source_donnees[[#This Row],[Image_Produit]]</f>
        <v>0</v>
      </c>
      <c r="Q17" t="str">
        <f>table_source_donnees[[#This Row],[Nom_Categorie_Produit]]</f>
        <v>Cosmétique</v>
      </c>
      <c r="R17" t="str">
        <f>table_source_donnees[[#This Row],[Description_Categorie]]</f>
        <v>Le meilleur des catégories</v>
      </c>
      <c r="S17" t="str">
        <f>table_source_donnees[[#This Row],[Nom_Client]]</f>
        <v>Tshibende</v>
      </c>
      <c r="T17" t="str">
        <f>table_source_donnees[[#This Row],[Prenom_Client]]</f>
        <v>Christelle</v>
      </c>
      <c r="U17" t="str">
        <f>table_source_donnees[[#This Row],[Genre_Client]]</f>
        <v>Féminin</v>
      </c>
      <c r="V17" t="str">
        <f>table_source_donnees[[#This Row],[Email_Client]]</f>
        <v>-</v>
      </c>
      <c r="W17">
        <f>table_source_donnees[[#This Row],[Telephone_Client]]</f>
        <v>983273816</v>
      </c>
      <c r="X17" t="str">
        <f>table_source_donnees[[#This Row],[Adresse_Client]]</f>
        <v>Masanga Mbila, Mont-Ngafula, Kinshasa</v>
      </c>
      <c r="Y17" t="str">
        <f>table_source_donnees[[#This Row],[Nom_Vendeur]]</f>
        <v>Ngalamulume</v>
      </c>
      <c r="Z17" t="str">
        <f>table_source_donnees[[#This Row],[Prenom_Vendeur]]</f>
        <v>Alidor</v>
      </c>
      <c r="AA17" t="str">
        <f>table_source_donnees[[#This Row],[Genre_Vendeur]]</f>
        <v>Masculin</v>
      </c>
      <c r="AB17" t="str">
        <f>table_source_donnees[[#This Row],[Email_Vendeur]]</f>
        <v>alidorngalamulume@gmail.com</v>
      </c>
      <c r="AC17">
        <f>table_source_donnees[[#This Row],[Telephone_Vendeur]]</f>
        <v>823673892</v>
      </c>
      <c r="AD17" t="str">
        <f>table_source_donnees[[#This Row],[Poste_Vendeur]]</f>
        <v>Gestionnaire des ventes</v>
      </c>
      <c r="AE17">
        <f>table_source_donnees[[#This Row],[Image_Vendeur]]</f>
        <v>0</v>
      </c>
      <c r="AF17" t="str">
        <f>table_source_donnees[[#This Row],[Etat_Donnees]]</f>
        <v>Initial</v>
      </c>
    </row>
    <row r="18" spans="1:32" x14ac:dyDescent="0.25">
      <c r="A18">
        <f>table_source_donnees[[#This Row],[ID_Ligne_Commande]]</f>
        <v>13</v>
      </c>
      <c r="B18">
        <f>table_source_donnees[[#This Row],[ID_Commande]]</f>
        <v>2</v>
      </c>
      <c r="C18" t="str">
        <f>table_source_donnees[[#This Row],[ID_Produit]]</f>
        <v>Sel</v>
      </c>
      <c r="D18">
        <f>table_source_donnees[[#This Row],[Quantite_Commande]]</f>
        <v>1</v>
      </c>
      <c r="E18">
        <f>table_source_donnees[[#This Row],[Prix_Unitaire]]</f>
        <v>50000</v>
      </c>
      <c r="F18">
        <f>table_source_donnees[[#This Row],[Total_Ligne]]</f>
        <v>50000</v>
      </c>
      <c r="G18" t="str">
        <f>table_source_donnees[[#This Row],[Date_Commmande]]</f>
        <v>22/08/2025 21:57:50</v>
      </c>
      <c r="H18">
        <f>table_source_donnees[[#This Row],[ID_Client]]</f>
        <v>2</v>
      </c>
      <c r="I18" t="str">
        <f>table_source_donnees[[#This Row],[ID_Vendeur]]</f>
        <v>TshiAgn</v>
      </c>
      <c r="J18" t="str">
        <f>table_source_donnees[[#This Row],[Statut_Commande]]</f>
        <v>Confirmée</v>
      </c>
      <c r="K18" t="str">
        <f>table_source_donnees[[#This Row],[Libellé_Produit]]</f>
        <v>Sel de table</v>
      </c>
      <c r="L18" t="str">
        <f>table_source_donnees[[#This Row],[Description_Produit]]</f>
        <v>Optionnelle</v>
      </c>
      <c r="M18">
        <f>table_source_donnees[[#This Row],[Prix_Unitaire_Produit]]</f>
        <v>50000</v>
      </c>
      <c r="N18">
        <f>table_source_donnees[[#This Row],[Quantité_Stockée]]</f>
        <v>9</v>
      </c>
      <c r="O18" t="str">
        <f>table_source_donnees[[#This Row],[ID_Categorie_Produit]]</f>
        <v>Cuisi</v>
      </c>
      <c r="P18">
        <f>table_source_donnees[[#This Row],[Image_Produit]]</f>
        <v>0</v>
      </c>
      <c r="Q18" t="str">
        <f>table_source_donnees[[#This Row],[Nom_Categorie_Produit]]</f>
        <v>Cuisine</v>
      </c>
      <c r="R18" t="str">
        <f>table_source_donnees[[#This Row],[Description_Categorie]]</f>
        <v>Optionnel</v>
      </c>
      <c r="S18" t="str">
        <f>table_source_donnees[[#This Row],[Nom_Client]]</f>
        <v>Tshibuabua</v>
      </c>
      <c r="T18" t="str">
        <f>table_source_donnees[[#This Row],[Prenom_Client]]</f>
        <v>Adella</v>
      </c>
      <c r="U18" t="str">
        <f>table_source_donnees[[#This Row],[Genre_Client]]</f>
        <v>Féminin</v>
      </c>
      <c r="V18" t="str">
        <f>table_source_donnees[[#This Row],[Email_Client]]</f>
        <v>-</v>
      </c>
      <c r="W18">
        <f>table_source_donnees[[#This Row],[Telephone_Client]]</f>
        <v>987364782</v>
      </c>
      <c r="X18" t="str">
        <f>table_source_donnees[[#This Row],[Adresse_Client]]</f>
        <v>Masanga-Mbila, Mont-Ngafula, Kinshasa</v>
      </c>
      <c r="Y18" t="str">
        <f>table_source_donnees[[#This Row],[Nom_Vendeur]]</f>
        <v>Tshiyoyi</v>
      </c>
      <c r="Z18" t="str">
        <f>table_source_donnees[[#This Row],[Prenom_Vendeur]]</f>
        <v>Agnès</v>
      </c>
      <c r="AA18" t="str">
        <f>table_source_donnees[[#This Row],[Genre_Vendeur]]</f>
        <v>Féminin</v>
      </c>
      <c r="AB18" t="str">
        <f>table_source_donnees[[#This Row],[Email_Vendeur]]</f>
        <v>tshiyoyiagnes@gmail.com</v>
      </c>
      <c r="AC18">
        <f>table_source_donnees[[#This Row],[Telephone_Vendeur]]</f>
        <v>928928292</v>
      </c>
      <c r="AD18" t="str">
        <f>table_source_donnees[[#This Row],[Poste_Vendeur]]</f>
        <v>Gestionnaire des ventes</v>
      </c>
      <c r="AE18">
        <f>table_source_donnees[[#This Row],[Image_Vendeur]]</f>
        <v>0</v>
      </c>
      <c r="AF18" t="str">
        <f>table_source_donnees[[#This Row],[Etat_Donnees]]</f>
        <v>Initial</v>
      </c>
    </row>
    <row r="19" spans="1:32" x14ac:dyDescent="0.25">
      <c r="A19">
        <f>table_source_donnees[[#This Row],[ID_Ligne_Commande]]</f>
        <v>14</v>
      </c>
      <c r="B19">
        <f>table_source_donnees[[#This Row],[ID_Commande]]</f>
        <v>5</v>
      </c>
      <c r="C19" t="str">
        <f>table_source_donnees[[#This Row],[ID_Produit]]</f>
        <v>Vidag</v>
      </c>
      <c r="D19">
        <f>table_source_donnees[[#This Row],[Quantite_Commande]]</f>
        <v>2</v>
      </c>
      <c r="E19">
        <f>table_source_donnees[[#This Row],[Prix_Unitaire]]</f>
        <v>5000</v>
      </c>
      <c r="F19">
        <f>table_source_donnees[[#This Row],[Total_Ligne]]</f>
        <v>10000</v>
      </c>
      <c r="G19" t="str">
        <f>table_source_donnees[[#This Row],[Date_Commmande]]</f>
        <v>23/08/2025 21:33:59</v>
      </c>
      <c r="H19">
        <f>table_source_donnees[[#This Row],[ID_Client]]</f>
        <v>3</v>
      </c>
      <c r="I19" t="str">
        <f>table_source_donnees[[#This Row],[ID_Vendeur]]</f>
        <v>RosLus</v>
      </c>
      <c r="J19" t="str">
        <f>table_source_donnees[[#This Row],[Statut_Commande]]</f>
        <v>Confirmée</v>
      </c>
      <c r="K19" t="str">
        <f>table_source_donnees[[#This Row],[Libellé_Produit]]</f>
        <v>Vidage 1 litre</v>
      </c>
      <c r="L19" t="str">
        <f>table_source_donnees[[#This Row],[Description_Produit]]</f>
        <v>-</v>
      </c>
      <c r="M19">
        <f>table_source_donnees[[#This Row],[Prix_Unitaire_Produit]]</f>
        <v>5000</v>
      </c>
      <c r="N19">
        <f>table_source_donnees[[#This Row],[Quantité_Stockée]]</f>
        <v>98</v>
      </c>
      <c r="O19" t="str">
        <f>table_source_donnees[[#This Row],[ID_Categorie_Produit]]</f>
        <v>Mecan</v>
      </c>
      <c r="P19">
        <f>table_source_donnees[[#This Row],[Image_Produit]]</f>
        <v>0</v>
      </c>
      <c r="Q19" t="str">
        <f>table_source_donnees[[#This Row],[Nom_Categorie_Produit]]</f>
        <v>Mécanique</v>
      </c>
      <c r="R19" t="str">
        <f>table_source_donnees[[#This Row],[Description_Categorie]]</f>
        <v>-</v>
      </c>
      <c r="S19" t="str">
        <f>table_source_donnees[[#This Row],[Nom_Client]]</f>
        <v>Mukendi</v>
      </c>
      <c r="T19" t="str">
        <f>table_source_donnees[[#This Row],[Prenom_Client]]</f>
        <v>François</v>
      </c>
      <c r="U19" t="str">
        <f>table_source_donnees[[#This Row],[Genre_Client]]</f>
        <v>Masculin</v>
      </c>
      <c r="V19" t="str">
        <f>table_source_donnees[[#This Row],[Email_Client]]</f>
        <v>-</v>
      </c>
      <c r="W19">
        <f>table_source_donnees[[#This Row],[Telephone_Client]]</f>
        <v>983746281</v>
      </c>
      <c r="X19" t="str">
        <f>table_source_donnees[[#This Row],[Adresse_Client]]</f>
        <v>Mpasa, Aeroport, Nsele</v>
      </c>
      <c r="Y19" t="str">
        <f>table_source_donnees[[#This Row],[Nom_Vendeur]]</f>
        <v>Lusamba</v>
      </c>
      <c r="Z19" t="str">
        <f>table_source_donnees[[#This Row],[Prenom_Vendeur]]</f>
        <v>Rosie</v>
      </c>
      <c r="AA19" t="str">
        <f>table_source_donnees[[#This Row],[Genre_Vendeur]]</f>
        <v>Féminin</v>
      </c>
      <c r="AB19" t="str">
        <f>table_source_donnees[[#This Row],[Email_Vendeur]]</f>
        <v>rosielusamba@gmail.com</v>
      </c>
      <c r="AC19">
        <f>table_source_donnees[[#This Row],[Telephone_Vendeur]]</f>
        <v>998267382</v>
      </c>
      <c r="AD19" t="str">
        <f>table_source_donnees[[#This Row],[Poste_Vendeur]]</f>
        <v>Gestionnaire des ventes</v>
      </c>
      <c r="AE19">
        <f>table_source_donnees[[#This Row],[Image_Vendeur]]</f>
        <v>0</v>
      </c>
      <c r="AF19" t="str">
        <f>table_source_donnees[[#This Row],[Etat_Donnees]]</f>
        <v>Initial</v>
      </c>
    </row>
    <row r="20" spans="1:32" x14ac:dyDescent="0.25">
      <c r="A20">
        <f>table_source_donnees[[#This Row],[ID_Ligne_Commande]]</f>
        <v>15</v>
      </c>
      <c r="B20">
        <f>table_source_donnees[[#This Row],[ID_Commande]]</f>
        <v>5</v>
      </c>
      <c r="C20" t="str">
        <f>table_source_donnees[[#This Row],[ID_Produit]]</f>
        <v>Vidag2</v>
      </c>
      <c r="D20">
        <f>table_source_donnees[[#This Row],[Quantite_Commande]]</f>
        <v>2</v>
      </c>
      <c r="E20">
        <f>table_source_donnees[[#This Row],[Prix_Unitaire]]</f>
        <v>20000</v>
      </c>
      <c r="F20">
        <f>table_source_donnees[[#This Row],[Total_Ligne]]</f>
        <v>40000</v>
      </c>
      <c r="G20" t="str">
        <f>table_source_donnees[[#This Row],[Date_Commmande]]</f>
        <v>23/08/2025 21:33:59</v>
      </c>
      <c r="H20">
        <f>table_source_donnees[[#This Row],[ID_Client]]</f>
        <v>3</v>
      </c>
      <c r="I20" t="str">
        <f>table_source_donnees[[#This Row],[ID_Vendeur]]</f>
        <v>RosLus</v>
      </c>
      <c r="J20" t="str">
        <f>table_source_donnees[[#This Row],[Statut_Commande]]</f>
        <v>Confirmée</v>
      </c>
      <c r="K20" t="str">
        <f>table_source_donnees[[#This Row],[Libellé_Produit]]</f>
        <v>Vidage 5 litres</v>
      </c>
      <c r="L20" t="str">
        <f>table_source_donnees[[#This Row],[Description_Produit]]</f>
        <v>-</v>
      </c>
      <c r="M20">
        <f>table_source_donnees[[#This Row],[Prix_Unitaire_Produit]]</f>
        <v>20000</v>
      </c>
      <c r="N20">
        <f>table_source_donnees[[#This Row],[Quantité_Stockée]]</f>
        <v>48</v>
      </c>
      <c r="O20" t="str">
        <f>table_source_donnees[[#This Row],[ID_Categorie_Produit]]</f>
        <v>Mecan</v>
      </c>
      <c r="P20">
        <f>table_source_donnees[[#This Row],[Image_Produit]]</f>
        <v>0</v>
      </c>
      <c r="Q20" t="str">
        <f>table_source_donnees[[#This Row],[Nom_Categorie_Produit]]</f>
        <v>Mécanique</v>
      </c>
      <c r="R20" t="str">
        <f>table_source_donnees[[#This Row],[Description_Categorie]]</f>
        <v>-</v>
      </c>
      <c r="S20" t="str">
        <f>table_source_donnees[[#This Row],[Nom_Client]]</f>
        <v>Mukendi</v>
      </c>
      <c r="T20" t="str">
        <f>table_source_donnees[[#This Row],[Prenom_Client]]</f>
        <v>François</v>
      </c>
      <c r="U20" t="str">
        <f>table_source_donnees[[#This Row],[Genre_Client]]</f>
        <v>Masculin</v>
      </c>
      <c r="V20" t="str">
        <f>table_source_donnees[[#This Row],[Email_Client]]</f>
        <v>-</v>
      </c>
      <c r="W20">
        <f>table_source_donnees[[#This Row],[Telephone_Client]]</f>
        <v>983746281</v>
      </c>
      <c r="X20" t="str">
        <f>table_source_donnees[[#This Row],[Adresse_Client]]</f>
        <v>Mpasa, Aeroport, Nsele</v>
      </c>
      <c r="Y20" t="str">
        <f>table_source_donnees[[#This Row],[Nom_Vendeur]]</f>
        <v>Lusamba</v>
      </c>
      <c r="Z20" t="str">
        <f>table_source_donnees[[#This Row],[Prenom_Vendeur]]</f>
        <v>Rosie</v>
      </c>
      <c r="AA20" t="str">
        <f>table_source_donnees[[#This Row],[Genre_Vendeur]]</f>
        <v>Féminin</v>
      </c>
      <c r="AB20" t="str">
        <f>table_source_donnees[[#This Row],[Email_Vendeur]]</f>
        <v>rosielusamba@gmail.com</v>
      </c>
      <c r="AC20">
        <f>table_source_donnees[[#This Row],[Telephone_Vendeur]]</f>
        <v>998267382</v>
      </c>
      <c r="AD20" t="str">
        <f>table_source_donnees[[#This Row],[Poste_Vendeur]]</f>
        <v>Gestionnaire des ventes</v>
      </c>
      <c r="AE20">
        <f>table_source_donnees[[#This Row],[Image_Vendeur]]</f>
        <v>0</v>
      </c>
      <c r="AF20" t="str">
        <f>table_source_donnees[[#This Row],[Etat_Donnees]]</f>
        <v>Initial</v>
      </c>
    </row>
    <row r="21" spans="1:32" x14ac:dyDescent="0.25">
      <c r="A21">
        <f>table_source_donnees[[#This Row],[ID_Ligne_Commande]]</f>
        <v>16</v>
      </c>
      <c r="B21">
        <f>table_source_donnees[[#This Row],[ID_Commande]]</f>
        <v>0</v>
      </c>
      <c r="C21" t="str">
        <f>table_source_donnees[[#This Row],[ID_Produit]]</f>
        <v>Bask</v>
      </c>
      <c r="D21">
        <f>table_source_donnees[[#This Row],[Quantite_Commande]]</f>
        <v>3</v>
      </c>
      <c r="E21">
        <f>table_source_donnees[[#This Row],[Prix_Unitaire]]</f>
        <v>50000</v>
      </c>
      <c r="F21">
        <f>table_source_donnees[[#This Row],[Total_Ligne]]</f>
        <v>150000</v>
      </c>
      <c r="G21">
        <f>table_source_donnees[[#This Row],[Date_Commmande]]</f>
        <v>0</v>
      </c>
      <c r="H21">
        <f>table_source_donnees[[#This Row],[ID_Client]]</f>
        <v>0</v>
      </c>
      <c r="I21">
        <f>table_source_donnees[[#This Row],[ID_Vendeur]]</f>
        <v>0</v>
      </c>
      <c r="J21">
        <f>table_source_donnees[[#This Row],[Statut_Commande]]</f>
        <v>0</v>
      </c>
      <c r="K21" t="str">
        <f>table_source_donnees[[#This Row],[Libellé_Produit]]</f>
        <v>Basket Air Force</v>
      </c>
      <c r="L21" t="str">
        <f>table_source_donnees[[#This Row],[Description_Produit]]</f>
        <v>-</v>
      </c>
      <c r="M21">
        <f>table_source_donnees[[#This Row],[Prix_Unitaire_Produit]]</f>
        <v>50000</v>
      </c>
      <c r="N21">
        <f>table_source_donnees[[#This Row],[Quantité_Stockée]]</f>
        <v>37</v>
      </c>
      <c r="O21" t="str">
        <f>table_source_donnees[[#This Row],[ID_Categorie_Produit]]</f>
        <v>Habill</v>
      </c>
      <c r="P21">
        <f>table_source_donnees[[#This Row],[Image_Produit]]</f>
        <v>0</v>
      </c>
      <c r="Q21" t="str">
        <f>table_source_donnees[[#This Row],[Nom_Categorie_Produit]]</f>
        <v>Habillement</v>
      </c>
      <c r="R21" t="str">
        <f>table_source_donnees[[#This Row],[Description_Categorie]]</f>
        <v>-</v>
      </c>
      <c r="S21">
        <f>table_source_donnees[[#This Row],[Nom_Client]]</f>
        <v>0</v>
      </c>
      <c r="T21">
        <f>table_source_donnees[[#This Row],[Prenom_Client]]</f>
        <v>0</v>
      </c>
      <c r="U21">
        <f>table_source_donnees[[#This Row],[Genre_Client]]</f>
        <v>0</v>
      </c>
      <c r="V21">
        <f>table_source_donnees[[#This Row],[Email_Client]]</f>
        <v>0</v>
      </c>
      <c r="W21">
        <f>table_source_donnees[[#This Row],[Telephone_Client]]</f>
        <v>0</v>
      </c>
      <c r="X21">
        <f>table_source_donnees[[#This Row],[Adresse_Client]]</f>
        <v>0</v>
      </c>
      <c r="Y21">
        <f>table_source_donnees[[#This Row],[Nom_Vendeur]]</f>
        <v>0</v>
      </c>
      <c r="Z21">
        <f>table_source_donnees[[#This Row],[Prenom_Vendeur]]</f>
        <v>0</v>
      </c>
      <c r="AA21">
        <f>table_source_donnees[[#This Row],[Genre_Vendeur]]</f>
        <v>0</v>
      </c>
      <c r="AB21">
        <f>table_source_donnees[[#This Row],[Email_Vendeur]]</f>
        <v>0</v>
      </c>
      <c r="AC21">
        <f>table_source_donnees[[#This Row],[Telephone_Vendeur]]</f>
        <v>0</v>
      </c>
      <c r="AD21">
        <f>table_source_donnees[[#This Row],[Poste_Vendeur]]</f>
        <v>0</v>
      </c>
      <c r="AE21">
        <f>table_source_donnees[[#This Row],[Image_Vendeur]]</f>
        <v>0</v>
      </c>
      <c r="AF21" t="str">
        <f>table_source_donnees[[#This Row],[Etat_Donnees]]</f>
        <v>Initial</v>
      </c>
    </row>
    <row r="22" spans="1:32" x14ac:dyDescent="0.25">
      <c r="A22">
        <f>table_source_donnees[[#This Row],[ID_Ligne_Commande]]</f>
        <v>17</v>
      </c>
      <c r="B22">
        <f>table_source_donnees[[#This Row],[ID_Commande]]</f>
        <v>0</v>
      </c>
      <c r="C22" t="str">
        <f>table_source_donnees[[#This Row],[ID_Produit]]</f>
        <v>Disc</v>
      </c>
      <c r="D22">
        <f>table_source_donnees[[#This Row],[Quantite_Commande]]</f>
        <v>4</v>
      </c>
      <c r="E22">
        <f>table_source_donnees[[#This Row],[Prix_Unitaire]]</f>
        <v>50000</v>
      </c>
      <c r="F22">
        <f>table_source_donnees[[#This Row],[Total_Ligne]]</f>
        <v>200000</v>
      </c>
      <c r="G22">
        <f>table_source_donnees[[#This Row],[Date_Commmande]]</f>
        <v>0</v>
      </c>
      <c r="H22">
        <f>table_source_donnees[[#This Row],[ID_Client]]</f>
        <v>0</v>
      </c>
      <c r="I22">
        <f>table_source_donnees[[#This Row],[ID_Vendeur]]</f>
        <v>0</v>
      </c>
      <c r="J22">
        <f>table_source_donnees[[#This Row],[Statut_Commande]]</f>
        <v>0</v>
      </c>
      <c r="K22" t="str">
        <f>table_source_donnees[[#This Row],[Libellé_Produit]]</f>
        <v>Disque Moteur</v>
      </c>
      <c r="L22" t="str">
        <f>table_source_donnees[[#This Row],[Description_Produit]]</f>
        <v>-</v>
      </c>
      <c r="M22">
        <f>table_source_donnees[[#This Row],[Prix_Unitaire_Produit]]</f>
        <v>50000</v>
      </c>
      <c r="N22">
        <f>table_source_donnees[[#This Row],[Quantité_Stockée]]</f>
        <v>16</v>
      </c>
      <c r="O22" t="str">
        <f>table_source_donnees[[#This Row],[ID_Categorie_Produit]]</f>
        <v>Mecan</v>
      </c>
      <c r="P22">
        <f>table_source_donnees[[#This Row],[Image_Produit]]</f>
        <v>0</v>
      </c>
      <c r="Q22" t="str">
        <f>table_source_donnees[[#This Row],[Nom_Categorie_Produit]]</f>
        <v>Mécanique</v>
      </c>
      <c r="R22" t="str">
        <f>table_source_donnees[[#This Row],[Description_Categorie]]</f>
        <v>-</v>
      </c>
      <c r="S22">
        <f>table_source_donnees[[#This Row],[Nom_Client]]</f>
        <v>0</v>
      </c>
      <c r="T22">
        <f>table_source_donnees[[#This Row],[Prenom_Client]]</f>
        <v>0</v>
      </c>
      <c r="U22">
        <f>table_source_donnees[[#This Row],[Genre_Client]]</f>
        <v>0</v>
      </c>
      <c r="V22">
        <f>table_source_donnees[[#This Row],[Email_Client]]</f>
        <v>0</v>
      </c>
      <c r="W22">
        <f>table_source_donnees[[#This Row],[Telephone_Client]]</f>
        <v>0</v>
      </c>
      <c r="X22">
        <f>table_source_donnees[[#This Row],[Adresse_Client]]</f>
        <v>0</v>
      </c>
      <c r="Y22">
        <f>table_source_donnees[[#This Row],[Nom_Vendeur]]</f>
        <v>0</v>
      </c>
      <c r="Z22">
        <f>table_source_donnees[[#This Row],[Prenom_Vendeur]]</f>
        <v>0</v>
      </c>
      <c r="AA22">
        <f>table_source_donnees[[#This Row],[Genre_Vendeur]]</f>
        <v>0</v>
      </c>
      <c r="AB22">
        <f>table_source_donnees[[#This Row],[Email_Vendeur]]</f>
        <v>0</v>
      </c>
      <c r="AC22">
        <f>table_source_donnees[[#This Row],[Telephone_Vendeur]]</f>
        <v>0</v>
      </c>
      <c r="AD22">
        <f>table_source_donnees[[#This Row],[Poste_Vendeur]]</f>
        <v>0</v>
      </c>
      <c r="AE22">
        <f>table_source_donnees[[#This Row],[Image_Vendeur]]</f>
        <v>0</v>
      </c>
      <c r="AF22" t="str">
        <f>table_source_donnees[[#This Row],[Etat_Donnees]]</f>
        <v>Initial</v>
      </c>
    </row>
    <row r="23" spans="1:32" x14ac:dyDescent="0.25">
      <c r="A23">
        <f>table_source_donnees[[#This Row],[ID_Ligne_Commande]]</f>
        <v>18</v>
      </c>
      <c r="B23">
        <f>table_source_donnees[[#This Row],[ID_Commande]]</f>
        <v>5</v>
      </c>
      <c r="C23" t="str">
        <f>table_source_donnees[[#This Row],[ID_Produit]]</f>
        <v>Disc</v>
      </c>
      <c r="D23">
        <f>table_source_donnees[[#This Row],[Quantite_Commande]]</f>
        <v>2</v>
      </c>
      <c r="E23">
        <f>table_source_donnees[[#This Row],[Prix_Unitaire]]</f>
        <v>50000</v>
      </c>
      <c r="F23">
        <f>table_source_donnees[[#This Row],[Total_Ligne]]</f>
        <v>100000</v>
      </c>
      <c r="G23" t="str">
        <f>table_source_donnees[[#This Row],[Date_Commmande]]</f>
        <v>23/08/2025 21:33:59</v>
      </c>
      <c r="H23">
        <f>table_source_donnees[[#This Row],[ID_Client]]</f>
        <v>3</v>
      </c>
      <c r="I23" t="str">
        <f>table_source_donnees[[#This Row],[ID_Vendeur]]</f>
        <v>RosLus</v>
      </c>
      <c r="J23" t="str">
        <f>table_source_donnees[[#This Row],[Statut_Commande]]</f>
        <v>Confirmée</v>
      </c>
      <c r="K23" t="str">
        <f>table_source_donnees[[#This Row],[Libellé_Produit]]</f>
        <v>Disque Moteur</v>
      </c>
      <c r="L23" t="str">
        <f>table_source_donnees[[#This Row],[Description_Produit]]</f>
        <v>-</v>
      </c>
      <c r="M23">
        <f>table_source_donnees[[#This Row],[Prix_Unitaire_Produit]]</f>
        <v>50000</v>
      </c>
      <c r="N23">
        <f>table_source_donnees[[#This Row],[Quantité_Stockée]]</f>
        <v>14</v>
      </c>
      <c r="O23" t="str">
        <f>table_source_donnees[[#This Row],[ID_Categorie_Produit]]</f>
        <v>Mecan</v>
      </c>
      <c r="P23">
        <f>table_source_donnees[[#This Row],[Image_Produit]]</f>
        <v>0</v>
      </c>
      <c r="Q23" t="str">
        <f>table_source_donnees[[#This Row],[Nom_Categorie_Produit]]</f>
        <v>Mécanique</v>
      </c>
      <c r="R23" t="str">
        <f>table_source_donnees[[#This Row],[Description_Categorie]]</f>
        <v>-</v>
      </c>
      <c r="S23" t="str">
        <f>table_source_donnees[[#This Row],[Nom_Client]]</f>
        <v>Mukendi</v>
      </c>
      <c r="T23" t="str">
        <f>table_source_donnees[[#This Row],[Prenom_Client]]</f>
        <v>François</v>
      </c>
      <c r="U23" t="str">
        <f>table_source_donnees[[#This Row],[Genre_Client]]</f>
        <v>Masculin</v>
      </c>
      <c r="V23" t="str">
        <f>table_source_donnees[[#This Row],[Email_Client]]</f>
        <v>-</v>
      </c>
      <c r="W23">
        <f>table_source_donnees[[#This Row],[Telephone_Client]]</f>
        <v>983746281</v>
      </c>
      <c r="X23" t="str">
        <f>table_source_donnees[[#This Row],[Adresse_Client]]</f>
        <v>Mpasa, Aeroport, Nsele</v>
      </c>
      <c r="Y23" t="str">
        <f>table_source_donnees[[#This Row],[Nom_Vendeur]]</f>
        <v>Lusamba</v>
      </c>
      <c r="Z23" t="str">
        <f>table_source_donnees[[#This Row],[Prenom_Vendeur]]</f>
        <v>Rosie</v>
      </c>
      <c r="AA23" t="str">
        <f>table_source_donnees[[#This Row],[Genre_Vendeur]]</f>
        <v>Féminin</v>
      </c>
      <c r="AB23" t="str">
        <f>table_source_donnees[[#This Row],[Email_Vendeur]]</f>
        <v>rosielusamba@gmail.com</v>
      </c>
      <c r="AC23">
        <f>table_source_donnees[[#This Row],[Telephone_Vendeur]]</f>
        <v>998267382</v>
      </c>
      <c r="AD23" t="str">
        <f>table_source_donnees[[#This Row],[Poste_Vendeur]]</f>
        <v>Gestionnaire des ventes</v>
      </c>
      <c r="AE23">
        <f>table_source_donnees[[#This Row],[Image_Vendeur]]</f>
        <v>0</v>
      </c>
      <c r="AF23" t="str">
        <f>table_source_donnees[[#This Row],[Etat_Donnees]]</f>
        <v>Initial</v>
      </c>
    </row>
    <row r="24" spans="1:32" x14ac:dyDescent="0.25">
      <c r="A24">
        <f>table_source_donnees[[#This Row],[ID_Ligne_Commande]]</f>
        <v>17</v>
      </c>
      <c r="B24">
        <f>table_source_donnees[[#This Row],[ID_Commande]]</f>
        <v>5</v>
      </c>
      <c r="C24" t="str">
        <f>table_source_donnees[[#This Row],[ID_Produit]]</f>
        <v>Disc</v>
      </c>
      <c r="D24">
        <f>table_source_donnees[[#This Row],[Quantite_Commande]]</f>
        <v>4</v>
      </c>
      <c r="E24">
        <f>table_source_donnees[[#This Row],[Prix_Unitaire]]</f>
        <v>50000</v>
      </c>
      <c r="F24">
        <f>table_source_donnees[[#This Row],[Total_Ligne]]</f>
        <v>200000</v>
      </c>
      <c r="G24" t="str">
        <f>table_source_donnees[[#This Row],[Date_Commmande]]</f>
        <v>23/08/2025 21:33:59</v>
      </c>
      <c r="H24">
        <f>table_source_donnees[[#This Row],[ID_Client]]</f>
        <v>3</v>
      </c>
      <c r="I24" t="str">
        <f>table_source_donnees[[#This Row],[ID_Vendeur]]</f>
        <v>RosLus</v>
      </c>
      <c r="J24" t="str">
        <f>table_source_donnees[[#This Row],[Statut_Commande]]</f>
        <v>Confirmée</v>
      </c>
      <c r="K24" t="str">
        <f>table_source_donnees[[#This Row],[Libellé_Produit]]</f>
        <v>Disque Moteur</v>
      </c>
      <c r="L24" t="str">
        <f>table_source_donnees[[#This Row],[Description_Produit]]</f>
        <v>-</v>
      </c>
      <c r="M24">
        <f>table_source_donnees[[#This Row],[Prix_Unitaire_Produit]]</f>
        <v>50000</v>
      </c>
      <c r="N24">
        <f>table_source_donnees[[#This Row],[Quantité_Stockée]]</f>
        <v>14</v>
      </c>
      <c r="O24" t="str">
        <f>table_source_donnees[[#This Row],[ID_Categorie_Produit]]</f>
        <v>Mecan</v>
      </c>
      <c r="P24">
        <f>table_source_donnees[[#This Row],[Image_Produit]]</f>
        <v>0</v>
      </c>
      <c r="Q24" t="str">
        <f>table_source_donnees[[#This Row],[Nom_Categorie_Produit]]</f>
        <v>Mécanique</v>
      </c>
      <c r="R24" t="str">
        <f>table_source_donnees[[#This Row],[Description_Categorie]]</f>
        <v>-</v>
      </c>
      <c r="S24" t="str">
        <f>table_source_donnees[[#This Row],[Nom_Client]]</f>
        <v>Mukendi</v>
      </c>
      <c r="T24" t="str">
        <f>table_source_donnees[[#This Row],[Prenom_Client]]</f>
        <v>François</v>
      </c>
      <c r="U24" t="str">
        <f>table_source_donnees[[#This Row],[Genre_Client]]</f>
        <v>Masculin</v>
      </c>
      <c r="V24" t="str">
        <f>table_source_donnees[[#This Row],[Email_Client]]</f>
        <v>-</v>
      </c>
      <c r="W24">
        <f>table_source_donnees[[#This Row],[Telephone_Client]]</f>
        <v>983746281</v>
      </c>
      <c r="X24" t="str">
        <f>table_source_donnees[[#This Row],[Adresse_Client]]</f>
        <v>Mpasa, Aeroport, Nsele</v>
      </c>
      <c r="Y24" t="str">
        <f>table_source_donnees[[#This Row],[Nom_Vendeur]]</f>
        <v>Lusamba</v>
      </c>
      <c r="Z24" t="str">
        <f>table_source_donnees[[#This Row],[Prenom_Vendeur]]</f>
        <v>Rosie</v>
      </c>
      <c r="AA24" t="str">
        <f>table_source_donnees[[#This Row],[Genre_Vendeur]]</f>
        <v>Féminin</v>
      </c>
      <c r="AB24" t="str">
        <f>table_source_donnees[[#This Row],[Email_Vendeur]]</f>
        <v>rosielusamba@gmail.com</v>
      </c>
      <c r="AC24">
        <f>table_source_donnees[[#This Row],[Telephone_Vendeur]]</f>
        <v>998267382</v>
      </c>
      <c r="AD24" t="str">
        <f>table_source_donnees[[#This Row],[Poste_Vendeur]]</f>
        <v>Gestionnaire des ventes</v>
      </c>
      <c r="AE24">
        <f>table_source_donnees[[#This Row],[Image_Vendeur]]</f>
        <v>0</v>
      </c>
      <c r="AF24" t="str">
        <f>table_source_donnees[[#This Row],[Etat_Donnees]]</f>
        <v>Modifié</v>
      </c>
    </row>
    <row r="25" spans="1:32" x14ac:dyDescent="0.25">
      <c r="A25">
        <f>table_source_donnees[[#This Row],[ID_Ligne_Commande]]</f>
        <v>19</v>
      </c>
      <c r="B25">
        <f>table_source_donnees[[#This Row],[ID_Commande]]</f>
        <v>5</v>
      </c>
      <c r="C25" t="str">
        <f>table_source_donnees[[#This Row],[ID_Produit]]</f>
        <v>ItalBouc</v>
      </c>
      <c r="D25">
        <f>table_source_donnees[[#This Row],[Quantite_Commande]]</f>
        <v>2</v>
      </c>
      <c r="E25">
        <f>table_source_donnees[[#This Row],[Prix_Unitaire]]</f>
        <v>200000</v>
      </c>
      <c r="F25">
        <f>table_source_donnees[[#This Row],[Total_Ligne]]</f>
        <v>400000</v>
      </c>
      <c r="G25" t="str">
        <f>table_source_donnees[[#This Row],[Date_Commmande]]</f>
        <v>23/08/2025 21:33:59</v>
      </c>
      <c r="H25">
        <f>table_source_donnees[[#This Row],[ID_Client]]</f>
        <v>3</v>
      </c>
      <c r="I25" t="str">
        <f>table_source_donnees[[#This Row],[ID_Vendeur]]</f>
        <v>RosLus</v>
      </c>
      <c r="J25" t="str">
        <f>table_source_donnees[[#This Row],[Statut_Commande]]</f>
        <v>Confirmée</v>
      </c>
      <c r="K25" t="str">
        <f>table_source_donnees[[#This Row],[Libellé_Produit]]</f>
        <v>Italy Cuir Boucle</v>
      </c>
      <c r="L25" t="str">
        <f>table_source_donnees[[#This Row],[Description_Produit]]</f>
        <v>-</v>
      </c>
      <c r="M25">
        <f>table_source_donnees[[#This Row],[Prix_Unitaire_Produit]]</f>
        <v>200000</v>
      </c>
      <c r="N25">
        <f>table_source_donnees[[#This Row],[Quantité_Stockée]]</f>
        <v>18</v>
      </c>
      <c r="O25" t="str">
        <f>table_source_donnees[[#This Row],[ID_Categorie_Produit]]</f>
        <v>Habill</v>
      </c>
      <c r="P25">
        <f>table_source_donnees[[#This Row],[Image_Produit]]</f>
        <v>0</v>
      </c>
      <c r="Q25" t="str">
        <f>table_source_donnees[[#This Row],[Nom_Categorie_Produit]]</f>
        <v>Habillement</v>
      </c>
      <c r="R25" t="str">
        <f>table_source_donnees[[#This Row],[Description_Categorie]]</f>
        <v>-</v>
      </c>
      <c r="S25" t="str">
        <f>table_source_donnees[[#This Row],[Nom_Client]]</f>
        <v>Mukendi</v>
      </c>
      <c r="T25" t="str">
        <f>table_source_donnees[[#This Row],[Prenom_Client]]</f>
        <v>François</v>
      </c>
      <c r="U25" t="str">
        <f>table_source_donnees[[#This Row],[Genre_Client]]</f>
        <v>Masculin</v>
      </c>
      <c r="V25" t="str">
        <f>table_source_donnees[[#This Row],[Email_Client]]</f>
        <v>-</v>
      </c>
      <c r="W25">
        <f>table_source_donnees[[#This Row],[Telephone_Client]]</f>
        <v>983746281</v>
      </c>
      <c r="X25" t="str">
        <f>table_source_donnees[[#This Row],[Adresse_Client]]</f>
        <v>Mpasa, Aeroport, Nsele</v>
      </c>
      <c r="Y25" t="str">
        <f>table_source_donnees[[#This Row],[Nom_Vendeur]]</f>
        <v>Lusamba</v>
      </c>
      <c r="Z25" t="str">
        <f>table_source_donnees[[#This Row],[Prenom_Vendeur]]</f>
        <v>Rosie</v>
      </c>
      <c r="AA25" t="str">
        <f>table_source_donnees[[#This Row],[Genre_Vendeur]]</f>
        <v>Féminin</v>
      </c>
      <c r="AB25" t="str">
        <f>table_source_donnees[[#This Row],[Email_Vendeur]]</f>
        <v>rosielusamba@gmail.com</v>
      </c>
      <c r="AC25">
        <f>table_source_donnees[[#This Row],[Telephone_Vendeur]]</f>
        <v>998267382</v>
      </c>
      <c r="AD25" t="str">
        <f>table_source_donnees[[#This Row],[Poste_Vendeur]]</f>
        <v>Gestionnaire des ventes</v>
      </c>
      <c r="AE25">
        <f>table_source_donnees[[#This Row],[Image_Vendeur]]</f>
        <v>0</v>
      </c>
      <c r="AF25" t="str">
        <f>table_source_donnees[[#This Row],[Etat_Donnees]]</f>
        <v>Initial</v>
      </c>
    </row>
    <row r="26" spans="1:32" x14ac:dyDescent="0.25">
      <c r="A26">
        <f>table_source_donnees[[#This Row],[ID_Ligne_Commande]]</f>
        <v>20</v>
      </c>
      <c r="B26">
        <f>table_source_donnees[[#This Row],[ID_Commande]]</f>
        <v>7</v>
      </c>
      <c r="C26" t="str">
        <f>table_source_donnees[[#This Row],[ID_Produit]]</f>
        <v>Vidag2</v>
      </c>
      <c r="D26">
        <f>table_source_donnees[[#This Row],[Quantite_Commande]]</f>
        <v>3</v>
      </c>
      <c r="E26">
        <f>table_source_donnees[[#This Row],[Prix_Unitaire]]</f>
        <v>20000</v>
      </c>
      <c r="F26">
        <f>table_source_donnees[[#This Row],[Total_Ligne]]</f>
        <v>60000</v>
      </c>
      <c r="G26" t="str">
        <f>table_source_donnees[[#This Row],[Date_Commmande]]</f>
        <v>23/08/2025 21:35:21</v>
      </c>
      <c r="H26">
        <f>table_source_donnees[[#This Row],[ID_Client]]</f>
        <v>4</v>
      </c>
      <c r="I26" t="str">
        <f>table_source_donnees[[#This Row],[ID_Vendeur]]</f>
        <v>RosLus</v>
      </c>
      <c r="J26" t="str">
        <f>table_source_donnees[[#This Row],[Statut_Commande]]</f>
        <v>Confirmée</v>
      </c>
      <c r="K26" t="str">
        <f>table_source_donnees[[#This Row],[Libellé_Produit]]</f>
        <v>Vidage 5 litres</v>
      </c>
      <c r="L26" t="str">
        <f>table_source_donnees[[#This Row],[Description_Produit]]</f>
        <v>-</v>
      </c>
      <c r="M26">
        <f>table_source_donnees[[#This Row],[Prix_Unitaire_Produit]]</f>
        <v>20000</v>
      </c>
      <c r="N26">
        <f>table_source_donnees[[#This Row],[Quantité_Stockée]]</f>
        <v>45</v>
      </c>
      <c r="O26" t="str">
        <f>table_source_donnees[[#This Row],[ID_Categorie_Produit]]</f>
        <v>Mecan</v>
      </c>
      <c r="P26">
        <f>table_source_donnees[[#This Row],[Image_Produit]]</f>
        <v>0</v>
      </c>
      <c r="Q26" t="str">
        <f>table_source_donnees[[#This Row],[Nom_Categorie_Produit]]</f>
        <v>Mécanique</v>
      </c>
      <c r="R26" t="str">
        <f>table_source_donnees[[#This Row],[Description_Categorie]]</f>
        <v>-</v>
      </c>
      <c r="S26" t="str">
        <f>table_source_donnees[[#This Row],[Nom_Client]]</f>
        <v>Mujinga</v>
      </c>
      <c r="T26" t="str">
        <f>table_source_donnees[[#This Row],[Prenom_Client]]</f>
        <v>Junior</v>
      </c>
      <c r="U26" t="str">
        <f>table_source_donnees[[#This Row],[Genre_Client]]</f>
        <v>Masculin</v>
      </c>
      <c r="V26" t="str">
        <f>table_source_donnees[[#This Row],[Email_Client]]</f>
        <v>-</v>
      </c>
      <c r="W26">
        <f>table_source_donnees[[#This Row],[Telephone_Client]]</f>
        <v>839203923</v>
      </c>
      <c r="X26" t="str">
        <f>table_source_donnees[[#This Row],[Adresse_Client]]</f>
        <v>Fleuve, Magasin, Kitambo</v>
      </c>
      <c r="Y26" t="str">
        <f>table_source_donnees[[#This Row],[Nom_Vendeur]]</f>
        <v>Lusamba</v>
      </c>
      <c r="Z26" t="str">
        <f>table_source_donnees[[#This Row],[Prenom_Vendeur]]</f>
        <v>Rosie</v>
      </c>
      <c r="AA26" t="str">
        <f>table_source_donnees[[#This Row],[Genre_Vendeur]]</f>
        <v>Féminin</v>
      </c>
      <c r="AB26" t="str">
        <f>table_source_donnees[[#This Row],[Email_Vendeur]]</f>
        <v>rosielusamba@gmail.com</v>
      </c>
      <c r="AC26">
        <f>table_source_donnees[[#This Row],[Telephone_Vendeur]]</f>
        <v>998267382</v>
      </c>
      <c r="AD26" t="str">
        <f>table_source_donnees[[#This Row],[Poste_Vendeur]]</f>
        <v>Gestionnaire des ventes</v>
      </c>
      <c r="AE26">
        <f>table_source_donnees[[#This Row],[Image_Vendeur]]</f>
        <v>0</v>
      </c>
      <c r="AF26" t="str">
        <f>table_source_donnees[[#This Row],[Etat_Donnees]]</f>
        <v>Initial</v>
      </c>
    </row>
    <row r="27" spans="1:32" x14ac:dyDescent="0.25">
      <c r="A27">
        <f>table_source_donnees[[#This Row],[ID_Ligne_Commande]]</f>
        <v>21</v>
      </c>
      <c r="B27">
        <f>table_source_donnees[[#This Row],[ID_Commande]]</f>
        <v>7</v>
      </c>
      <c r="C27" t="str">
        <f>table_source_donnees[[#This Row],[ID_Produit]]</f>
        <v>Disc</v>
      </c>
      <c r="D27">
        <f>table_source_donnees[[#This Row],[Quantite_Commande]]</f>
        <v>1</v>
      </c>
      <c r="E27">
        <f>table_source_donnees[[#This Row],[Prix_Unitaire]]</f>
        <v>50000</v>
      </c>
      <c r="F27">
        <f>table_source_donnees[[#This Row],[Total_Ligne]]</f>
        <v>50000</v>
      </c>
      <c r="G27" t="str">
        <f>table_source_donnees[[#This Row],[Date_Commmande]]</f>
        <v>23/08/2025 21:35:21</v>
      </c>
      <c r="H27">
        <f>table_source_donnees[[#This Row],[ID_Client]]</f>
        <v>4</v>
      </c>
      <c r="I27" t="str">
        <f>table_source_donnees[[#This Row],[ID_Vendeur]]</f>
        <v>RosLus</v>
      </c>
      <c r="J27" t="str">
        <f>table_source_donnees[[#This Row],[Statut_Commande]]</f>
        <v>Confirmée</v>
      </c>
      <c r="K27" t="str">
        <f>table_source_donnees[[#This Row],[Libellé_Produit]]</f>
        <v>Disque Moteur</v>
      </c>
      <c r="L27" t="str">
        <f>table_source_donnees[[#This Row],[Description_Produit]]</f>
        <v>-</v>
      </c>
      <c r="M27">
        <f>table_source_donnees[[#This Row],[Prix_Unitaire_Produit]]</f>
        <v>50000</v>
      </c>
      <c r="N27">
        <f>table_source_donnees[[#This Row],[Quantité_Stockée]]</f>
        <v>13</v>
      </c>
      <c r="O27" t="str">
        <f>table_source_donnees[[#This Row],[ID_Categorie_Produit]]</f>
        <v>Mecan</v>
      </c>
      <c r="P27">
        <f>table_source_donnees[[#This Row],[Image_Produit]]</f>
        <v>0</v>
      </c>
      <c r="Q27" t="str">
        <f>table_source_donnees[[#This Row],[Nom_Categorie_Produit]]</f>
        <v>Mécanique</v>
      </c>
      <c r="R27" t="str">
        <f>table_source_donnees[[#This Row],[Description_Categorie]]</f>
        <v>-</v>
      </c>
      <c r="S27" t="str">
        <f>table_source_donnees[[#This Row],[Nom_Client]]</f>
        <v>Mujinga</v>
      </c>
      <c r="T27" t="str">
        <f>table_source_donnees[[#This Row],[Prenom_Client]]</f>
        <v>Junior</v>
      </c>
      <c r="U27" t="str">
        <f>table_source_donnees[[#This Row],[Genre_Client]]</f>
        <v>Masculin</v>
      </c>
      <c r="V27" t="str">
        <f>table_source_donnees[[#This Row],[Email_Client]]</f>
        <v>-</v>
      </c>
      <c r="W27">
        <f>table_source_donnees[[#This Row],[Telephone_Client]]</f>
        <v>839203923</v>
      </c>
      <c r="X27" t="str">
        <f>table_source_donnees[[#This Row],[Adresse_Client]]</f>
        <v>Fleuve, Magasin, Kitambo</v>
      </c>
      <c r="Y27" t="str">
        <f>table_source_donnees[[#This Row],[Nom_Vendeur]]</f>
        <v>Lusamba</v>
      </c>
      <c r="Z27" t="str">
        <f>table_source_donnees[[#This Row],[Prenom_Vendeur]]</f>
        <v>Rosie</v>
      </c>
      <c r="AA27" t="str">
        <f>table_source_donnees[[#This Row],[Genre_Vendeur]]</f>
        <v>Féminin</v>
      </c>
      <c r="AB27" t="str">
        <f>table_source_donnees[[#This Row],[Email_Vendeur]]</f>
        <v>rosielusamba@gmail.com</v>
      </c>
      <c r="AC27">
        <f>table_source_donnees[[#This Row],[Telephone_Vendeur]]</f>
        <v>998267382</v>
      </c>
      <c r="AD27" t="str">
        <f>table_source_donnees[[#This Row],[Poste_Vendeur]]</f>
        <v>Gestionnaire des ventes</v>
      </c>
      <c r="AE27">
        <f>table_source_donnees[[#This Row],[Image_Vendeur]]</f>
        <v>0</v>
      </c>
      <c r="AF27" t="str">
        <f>table_source_donnees[[#This Row],[Etat_Donnees]]</f>
        <v>Initial</v>
      </c>
    </row>
    <row r="28" spans="1:32" x14ac:dyDescent="0.25">
      <c r="A28">
        <f>table_source_donnees[[#This Row],[ID_Ligne_Commande]]</f>
        <v>22</v>
      </c>
      <c r="B28">
        <f>table_source_donnees[[#This Row],[ID_Commande]]</f>
        <v>7</v>
      </c>
      <c r="C28" t="str">
        <f>table_source_donnees[[#This Row],[ID_Produit]]</f>
        <v>Bask</v>
      </c>
      <c r="D28">
        <f>table_source_donnees[[#This Row],[Quantite_Commande]]</f>
        <v>3</v>
      </c>
      <c r="E28">
        <f>table_source_donnees[[#This Row],[Prix_Unitaire]]</f>
        <v>50000</v>
      </c>
      <c r="F28">
        <f>table_source_donnees[[#This Row],[Total_Ligne]]</f>
        <v>150000</v>
      </c>
      <c r="G28" t="str">
        <f>table_source_donnees[[#This Row],[Date_Commmande]]</f>
        <v>23/08/2025 21:35:21</v>
      </c>
      <c r="H28">
        <f>table_source_donnees[[#This Row],[ID_Client]]</f>
        <v>4</v>
      </c>
      <c r="I28" t="str">
        <f>table_source_donnees[[#This Row],[ID_Vendeur]]</f>
        <v>RosLus</v>
      </c>
      <c r="J28" t="str">
        <f>table_source_donnees[[#This Row],[Statut_Commande]]</f>
        <v>Confirmée</v>
      </c>
      <c r="K28" t="str">
        <f>table_source_donnees[[#This Row],[Libellé_Produit]]</f>
        <v>Basket Air Force</v>
      </c>
      <c r="L28" t="str">
        <f>table_source_donnees[[#This Row],[Description_Produit]]</f>
        <v>-</v>
      </c>
      <c r="M28">
        <f>table_source_donnees[[#This Row],[Prix_Unitaire_Produit]]</f>
        <v>50000</v>
      </c>
      <c r="N28">
        <f>table_source_donnees[[#This Row],[Quantité_Stockée]]</f>
        <v>34</v>
      </c>
      <c r="O28" t="str">
        <f>table_source_donnees[[#This Row],[ID_Categorie_Produit]]</f>
        <v>Habill</v>
      </c>
      <c r="P28">
        <f>table_source_donnees[[#This Row],[Image_Produit]]</f>
        <v>0</v>
      </c>
      <c r="Q28" t="str">
        <f>table_source_donnees[[#This Row],[Nom_Categorie_Produit]]</f>
        <v>Habillement</v>
      </c>
      <c r="R28" t="str">
        <f>table_source_donnees[[#This Row],[Description_Categorie]]</f>
        <v>-</v>
      </c>
      <c r="S28" t="str">
        <f>table_source_donnees[[#This Row],[Nom_Client]]</f>
        <v>Mujinga</v>
      </c>
      <c r="T28" t="str">
        <f>table_source_donnees[[#This Row],[Prenom_Client]]</f>
        <v>Junior</v>
      </c>
      <c r="U28" t="str">
        <f>table_source_donnees[[#This Row],[Genre_Client]]</f>
        <v>Masculin</v>
      </c>
      <c r="V28" t="str">
        <f>table_source_donnees[[#This Row],[Email_Client]]</f>
        <v>-</v>
      </c>
      <c r="W28">
        <f>table_source_donnees[[#This Row],[Telephone_Client]]</f>
        <v>839203923</v>
      </c>
      <c r="X28" t="str">
        <f>table_source_donnees[[#This Row],[Adresse_Client]]</f>
        <v>Fleuve, Magasin, Kitambo</v>
      </c>
      <c r="Y28" t="str">
        <f>table_source_donnees[[#This Row],[Nom_Vendeur]]</f>
        <v>Lusamba</v>
      </c>
      <c r="Z28" t="str">
        <f>table_source_donnees[[#This Row],[Prenom_Vendeur]]</f>
        <v>Rosie</v>
      </c>
      <c r="AA28" t="str">
        <f>table_source_donnees[[#This Row],[Genre_Vendeur]]</f>
        <v>Féminin</v>
      </c>
      <c r="AB28" t="str">
        <f>table_source_donnees[[#This Row],[Email_Vendeur]]</f>
        <v>rosielusamba@gmail.com</v>
      </c>
      <c r="AC28">
        <f>table_source_donnees[[#This Row],[Telephone_Vendeur]]</f>
        <v>998267382</v>
      </c>
      <c r="AD28" t="str">
        <f>table_source_donnees[[#This Row],[Poste_Vendeur]]</f>
        <v>Gestionnaire des ventes</v>
      </c>
      <c r="AE28">
        <f>table_source_donnees[[#This Row],[Image_Vendeur]]</f>
        <v>0</v>
      </c>
      <c r="AF28" t="str">
        <f>table_source_donnees[[#This Row],[Etat_Donnees]]</f>
        <v>Initial</v>
      </c>
    </row>
    <row r="29" spans="1:32" x14ac:dyDescent="0.25">
      <c r="A29">
        <f>table_source_donnees[[#This Row],[ID_Ligne_Commande]]</f>
        <v>23</v>
      </c>
      <c r="B29">
        <f>table_source_donnees[[#This Row],[ID_Commande]]</f>
        <v>7</v>
      </c>
      <c r="C29" t="str">
        <f>table_source_donnees[[#This Row],[ID_Produit]]</f>
        <v>ItalBouc</v>
      </c>
      <c r="D29">
        <f>table_source_donnees[[#This Row],[Quantite_Commande]]</f>
        <v>4</v>
      </c>
      <c r="E29">
        <f>table_source_donnees[[#This Row],[Prix_Unitaire]]</f>
        <v>200000</v>
      </c>
      <c r="F29">
        <f>table_source_donnees[[#This Row],[Total_Ligne]]</f>
        <v>800000</v>
      </c>
      <c r="G29" t="str">
        <f>table_source_donnees[[#This Row],[Date_Commmande]]</f>
        <v>23/08/2025 21:35:21</v>
      </c>
      <c r="H29">
        <f>table_source_donnees[[#This Row],[ID_Client]]</f>
        <v>4</v>
      </c>
      <c r="I29" t="str">
        <f>table_source_donnees[[#This Row],[ID_Vendeur]]</f>
        <v>RosLus</v>
      </c>
      <c r="J29" t="str">
        <f>table_source_donnees[[#This Row],[Statut_Commande]]</f>
        <v>Confirmée</v>
      </c>
      <c r="K29" t="str">
        <f>table_source_donnees[[#This Row],[Libellé_Produit]]</f>
        <v>Italy Cuir Boucle</v>
      </c>
      <c r="L29" t="str">
        <f>table_source_donnees[[#This Row],[Description_Produit]]</f>
        <v>-</v>
      </c>
      <c r="M29">
        <f>table_source_donnees[[#This Row],[Prix_Unitaire_Produit]]</f>
        <v>200000</v>
      </c>
      <c r="N29">
        <f>table_source_donnees[[#This Row],[Quantité_Stockée]]</f>
        <v>14</v>
      </c>
      <c r="O29" t="str">
        <f>table_source_donnees[[#This Row],[ID_Categorie_Produit]]</f>
        <v>Habill</v>
      </c>
      <c r="P29">
        <f>table_source_donnees[[#This Row],[Image_Produit]]</f>
        <v>0</v>
      </c>
      <c r="Q29" t="str">
        <f>table_source_donnees[[#This Row],[Nom_Categorie_Produit]]</f>
        <v>Habillement</v>
      </c>
      <c r="R29" t="str">
        <f>table_source_donnees[[#This Row],[Description_Categorie]]</f>
        <v>-</v>
      </c>
      <c r="S29" t="str">
        <f>table_source_donnees[[#This Row],[Nom_Client]]</f>
        <v>Mujinga</v>
      </c>
      <c r="T29" t="str">
        <f>table_source_donnees[[#This Row],[Prenom_Client]]</f>
        <v>Junior</v>
      </c>
      <c r="U29" t="str">
        <f>table_source_donnees[[#This Row],[Genre_Client]]</f>
        <v>Masculin</v>
      </c>
      <c r="V29" t="str">
        <f>table_source_donnees[[#This Row],[Email_Client]]</f>
        <v>-</v>
      </c>
      <c r="W29">
        <f>table_source_donnees[[#This Row],[Telephone_Client]]</f>
        <v>839203923</v>
      </c>
      <c r="X29" t="str">
        <f>table_source_donnees[[#This Row],[Adresse_Client]]</f>
        <v>Fleuve, Magasin, Kitambo</v>
      </c>
      <c r="Y29" t="str">
        <f>table_source_donnees[[#This Row],[Nom_Vendeur]]</f>
        <v>Lusamba</v>
      </c>
      <c r="Z29" t="str">
        <f>table_source_donnees[[#This Row],[Prenom_Vendeur]]</f>
        <v>Rosie</v>
      </c>
      <c r="AA29" t="str">
        <f>table_source_donnees[[#This Row],[Genre_Vendeur]]</f>
        <v>Féminin</v>
      </c>
      <c r="AB29" t="str">
        <f>table_source_donnees[[#This Row],[Email_Vendeur]]</f>
        <v>rosielusamba@gmail.com</v>
      </c>
      <c r="AC29">
        <f>table_source_donnees[[#This Row],[Telephone_Vendeur]]</f>
        <v>998267382</v>
      </c>
      <c r="AD29" t="str">
        <f>table_source_donnees[[#This Row],[Poste_Vendeur]]</f>
        <v>Gestionnaire des ventes</v>
      </c>
      <c r="AE29">
        <f>table_source_donnees[[#This Row],[Image_Vendeur]]</f>
        <v>0</v>
      </c>
      <c r="AF29" t="str">
        <f>table_source_donnees[[#This Row],[Etat_Donnees]]</f>
        <v>Initial</v>
      </c>
    </row>
    <row r="30" spans="1:32" x14ac:dyDescent="0.25">
      <c r="A30">
        <f>table_source_donnees[[#This Row],[ID_Ligne_Commande]]</f>
        <v>6</v>
      </c>
      <c r="B30">
        <f>table_source_donnees[[#This Row],[ID_Commande]]</f>
        <v>0</v>
      </c>
      <c r="C30" t="str">
        <f>table_source_donnees[[#This Row],[ID_Produit]]</f>
        <v>Sel</v>
      </c>
      <c r="D30">
        <f>table_source_donnees[[#This Row],[Quantite_Commande]]</f>
        <v>2</v>
      </c>
      <c r="E30">
        <f>table_source_donnees[[#This Row],[Prix_Unitaire]]</f>
        <v>50000</v>
      </c>
      <c r="F30">
        <f>table_source_donnees[[#This Row],[Total_Ligne]]</f>
        <v>100000</v>
      </c>
      <c r="G30">
        <f>table_source_donnees[[#This Row],[Date_Commmande]]</f>
        <v>0</v>
      </c>
      <c r="H30">
        <f>table_source_donnees[[#This Row],[ID_Client]]</f>
        <v>0</v>
      </c>
      <c r="I30">
        <f>table_source_donnees[[#This Row],[ID_Vendeur]]</f>
        <v>0</v>
      </c>
      <c r="J30">
        <f>table_source_donnees[[#This Row],[Statut_Commande]]</f>
        <v>0</v>
      </c>
      <c r="K30" t="str">
        <f>table_source_donnees[[#This Row],[Libellé_Produit]]</f>
        <v>Sel de table</v>
      </c>
      <c r="L30" t="str">
        <f>table_source_donnees[[#This Row],[Description_Produit]]</f>
        <v>Optionnelle</v>
      </c>
      <c r="M30">
        <f>table_source_donnees[[#This Row],[Prix_Unitaire_Produit]]</f>
        <v>50000</v>
      </c>
      <c r="N30">
        <f>table_source_donnees[[#This Row],[Quantité_Stockée]]</f>
        <v>9</v>
      </c>
      <c r="O30" t="str">
        <f>table_source_donnees[[#This Row],[ID_Categorie_Produit]]</f>
        <v>Cuisi</v>
      </c>
      <c r="P30">
        <f>table_source_donnees[[#This Row],[Image_Produit]]</f>
        <v>0</v>
      </c>
      <c r="Q30" t="str">
        <f>table_source_donnees[[#This Row],[Nom_Categorie_Produit]]</f>
        <v>Cuisine</v>
      </c>
      <c r="R30" t="str">
        <f>table_source_donnees[[#This Row],[Description_Categorie]]</f>
        <v>Optionnel</v>
      </c>
      <c r="S30">
        <f>table_source_donnees[[#This Row],[Nom_Client]]</f>
        <v>0</v>
      </c>
      <c r="T30">
        <f>table_source_donnees[[#This Row],[Prenom_Client]]</f>
        <v>0</v>
      </c>
      <c r="U30">
        <f>table_source_donnees[[#This Row],[Genre_Client]]</f>
        <v>0</v>
      </c>
      <c r="V30">
        <f>table_source_donnees[[#This Row],[Email_Client]]</f>
        <v>0</v>
      </c>
      <c r="W30">
        <f>table_source_donnees[[#This Row],[Telephone_Client]]</f>
        <v>0</v>
      </c>
      <c r="X30">
        <f>table_source_donnees[[#This Row],[Adresse_Client]]</f>
        <v>0</v>
      </c>
      <c r="Y30">
        <f>table_source_donnees[[#This Row],[Nom_Vendeur]]</f>
        <v>0</v>
      </c>
      <c r="Z30">
        <f>table_source_donnees[[#This Row],[Prenom_Vendeur]]</f>
        <v>0</v>
      </c>
      <c r="AA30">
        <f>table_source_donnees[[#This Row],[Genre_Vendeur]]</f>
        <v>0</v>
      </c>
      <c r="AB30">
        <f>table_source_donnees[[#This Row],[Email_Vendeur]]</f>
        <v>0</v>
      </c>
      <c r="AC30">
        <f>table_source_donnees[[#This Row],[Telephone_Vendeur]]</f>
        <v>0</v>
      </c>
      <c r="AD30">
        <f>table_source_donnees[[#This Row],[Poste_Vendeur]]</f>
        <v>0</v>
      </c>
      <c r="AE30">
        <f>table_source_donnees[[#This Row],[Image_Vendeur]]</f>
        <v>0</v>
      </c>
      <c r="AF30" t="str">
        <f>table_source_donnees[[#This Row],[Etat_Donnees]]</f>
        <v>Modifié</v>
      </c>
    </row>
    <row r="31" spans="1:32" x14ac:dyDescent="0.25">
      <c r="A31">
        <f>table_source_donnees[[#This Row],[ID_Ligne_Commande]]</f>
        <v>7</v>
      </c>
      <c r="B31">
        <f>table_source_donnees[[#This Row],[ID_Commande]]</f>
        <v>7</v>
      </c>
      <c r="C31" t="str">
        <f>table_source_donnees[[#This Row],[ID_Produit]]</f>
        <v>Sel</v>
      </c>
      <c r="D31">
        <f>table_source_donnees[[#This Row],[Quantite_Commande]]</f>
        <v>1</v>
      </c>
      <c r="E31">
        <f>table_source_donnees[[#This Row],[Prix_Unitaire]]</f>
        <v>50000</v>
      </c>
      <c r="F31">
        <f>table_source_donnees[[#This Row],[Total_Ligne]]</f>
        <v>50000</v>
      </c>
      <c r="G31" t="str">
        <f>table_source_donnees[[#This Row],[Date_Commmande]]</f>
        <v>23/08/2025 21:35:21</v>
      </c>
      <c r="H31">
        <f>table_source_donnees[[#This Row],[ID_Client]]</f>
        <v>4</v>
      </c>
      <c r="I31" t="str">
        <f>table_source_donnees[[#This Row],[ID_Vendeur]]</f>
        <v>RosLus</v>
      </c>
      <c r="J31" t="str">
        <f>table_source_donnees[[#This Row],[Statut_Commande]]</f>
        <v>Confirmée</v>
      </c>
      <c r="K31" t="str">
        <f>table_source_donnees[[#This Row],[Libellé_Produit]]</f>
        <v>Sel de table</v>
      </c>
      <c r="L31" t="str">
        <f>table_source_donnees[[#This Row],[Description_Produit]]</f>
        <v>Optionnelle</v>
      </c>
      <c r="M31">
        <f>table_source_donnees[[#This Row],[Prix_Unitaire_Produit]]</f>
        <v>50000</v>
      </c>
      <c r="N31">
        <f>table_source_donnees[[#This Row],[Quantité_Stockée]]</f>
        <v>9</v>
      </c>
      <c r="O31" t="str">
        <f>table_source_donnees[[#This Row],[ID_Categorie_Produit]]</f>
        <v>Cuisi</v>
      </c>
      <c r="P31">
        <f>table_source_donnees[[#This Row],[Image_Produit]]</f>
        <v>0</v>
      </c>
      <c r="Q31" t="str">
        <f>table_source_donnees[[#This Row],[Nom_Categorie_Produit]]</f>
        <v>Cuisine</v>
      </c>
      <c r="R31" t="str">
        <f>table_source_donnees[[#This Row],[Description_Categorie]]</f>
        <v>Optionnel</v>
      </c>
      <c r="S31" t="str">
        <f>table_source_donnees[[#This Row],[Nom_Client]]</f>
        <v>Mujinga</v>
      </c>
      <c r="T31" t="str">
        <f>table_source_donnees[[#This Row],[Prenom_Client]]</f>
        <v>Junior</v>
      </c>
      <c r="U31" t="str">
        <f>table_source_donnees[[#This Row],[Genre_Client]]</f>
        <v>Masculin</v>
      </c>
      <c r="V31" t="str">
        <f>table_source_donnees[[#This Row],[Email_Client]]</f>
        <v>-</v>
      </c>
      <c r="W31">
        <f>table_source_donnees[[#This Row],[Telephone_Client]]</f>
        <v>839203923</v>
      </c>
      <c r="X31" t="str">
        <f>table_source_donnees[[#This Row],[Adresse_Client]]</f>
        <v>Fleuve, Magasin, Kitambo</v>
      </c>
      <c r="Y31" t="str">
        <f>table_source_donnees[[#This Row],[Nom_Vendeur]]</f>
        <v>Lusamba</v>
      </c>
      <c r="Z31" t="str">
        <f>table_source_donnees[[#This Row],[Prenom_Vendeur]]</f>
        <v>Rosie</v>
      </c>
      <c r="AA31" t="str">
        <f>table_source_donnees[[#This Row],[Genre_Vendeur]]</f>
        <v>Féminin</v>
      </c>
      <c r="AB31" t="str">
        <f>table_source_donnees[[#This Row],[Email_Vendeur]]</f>
        <v>rosielusamba@gmail.com</v>
      </c>
      <c r="AC31">
        <f>table_source_donnees[[#This Row],[Telephone_Vendeur]]</f>
        <v>998267382</v>
      </c>
      <c r="AD31" t="str">
        <f>table_source_donnees[[#This Row],[Poste_Vendeur]]</f>
        <v>Gestionnaire des ventes</v>
      </c>
      <c r="AE31">
        <f>table_source_donnees[[#This Row],[Image_Vendeur]]</f>
        <v>0</v>
      </c>
      <c r="AF31" t="str">
        <f>table_source_donnees[[#This Row],[Etat_Donnees]]</f>
        <v>Modifié</v>
      </c>
    </row>
    <row r="32" spans="1:32" x14ac:dyDescent="0.25">
      <c r="A32">
        <f>table_source_donnees[[#This Row],[ID_Ligne_Commande]]</f>
        <v>16</v>
      </c>
      <c r="B32">
        <f>table_source_donnees[[#This Row],[ID_Commande]]</f>
        <v>7</v>
      </c>
      <c r="C32" t="str">
        <f>table_source_donnees[[#This Row],[ID_Produit]]</f>
        <v>Bask</v>
      </c>
      <c r="D32">
        <f>table_source_donnees[[#This Row],[Quantite_Commande]]</f>
        <v>3</v>
      </c>
      <c r="E32">
        <f>table_source_donnees[[#This Row],[Prix_Unitaire]]</f>
        <v>50000</v>
      </c>
      <c r="F32">
        <f>table_source_donnees[[#This Row],[Total_Ligne]]</f>
        <v>150000</v>
      </c>
      <c r="G32" t="str">
        <f>table_source_donnees[[#This Row],[Date_Commmande]]</f>
        <v>23/08/2025 21:35:21</v>
      </c>
      <c r="H32">
        <f>table_source_donnees[[#This Row],[ID_Client]]</f>
        <v>4</v>
      </c>
      <c r="I32" t="str">
        <f>table_source_donnees[[#This Row],[ID_Vendeur]]</f>
        <v>RosLus</v>
      </c>
      <c r="J32" t="str">
        <f>table_source_donnees[[#This Row],[Statut_Commande]]</f>
        <v>Confirmée</v>
      </c>
      <c r="K32" t="str">
        <f>table_source_donnees[[#This Row],[Libellé_Produit]]</f>
        <v>Basket Air Force</v>
      </c>
      <c r="L32" t="str">
        <f>table_source_donnees[[#This Row],[Description_Produit]]</f>
        <v>-</v>
      </c>
      <c r="M32">
        <f>table_source_donnees[[#This Row],[Prix_Unitaire_Produit]]</f>
        <v>50000</v>
      </c>
      <c r="N32">
        <f>table_source_donnees[[#This Row],[Quantité_Stockée]]</f>
        <v>34</v>
      </c>
      <c r="O32" t="str">
        <f>table_source_donnees[[#This Row],[ID_Categorie_Produit]]</f>
        <v>Habill</v>
      </c>
      <c r="P32">
        <f>table_source_donnees[[#This Row],[Image_Produit]]</f>
        <v>0</v>
      </c>
      <c r="Q32" t="str">
        <f>table_source_donnees[[#This Row],[Nom_Categorie_Produit]]</f>
        <v>Habillement</v>
      </c>
      <c r="R32" t="str">
        <f>table_source_donnees[[#This Row],[Description_Categorie]]</f>
        <v>-</v>
      </c>
      <c r="S32" t="str">
        <f>table_source_donnees[[#This Row],[Nom_Client]]</f>
        <v>Mujinga</v>
      </c>
      <c r="T32" t="str">
        <f>table_source_donnees[[#This Row],[Prenom_Client]]</f>
        <v>Junior</v>
      </c>
      <c r="U32" t="str">
        <f>table_source_donnees[[#This Row],[Genre_Client]]</f>
        <v>Masculin</v>
      </c>
      <c r="V32" t="str">
        <f>table_source_donnees[[#This Row],[Email_Client]]</f>
        <v>-</v>
      </c>
      <c r="W32">
        <f>table_source_donnees[[#This Row],[Telephone_Client]]</f>
        <v>839203923</v>
      </c>
      <c r="X32" t="str">
        <f>table_source_donnees[[#This Row],[Adresse_Client]]</f>
        <v>Fleuve, Magasin, Kitambo</v>
      </c>
      <c r="Y32" t="str">
        <f>table_source_donnees[[#This Row],[Nom_Vendeur]]</f>
        <v>Lusamba</v>
      </c>
      <c r="Z32" t="str">
        <f>table_source_donnees[[#This Row],[Prenom_Vendeur]]</f>
        <v>Rosie</v>
      </c>
      <c r="AA32" t="str">
        <f>table_source_donnees[[#This Row],[Genre_Vendeur]]</f>
        <v>Féminin</v>
      </c>
      <c r="AB32" t="str">
        <f>table_source_donnees[[#This Row],[Email_Vendeur]]</f>
        <v>rosielusamba@gmail.com</v>
      </c>
      <c r="AC32">
        <f>table_source_donnees[[#This Row],[Telephone_Vendeur]]</f>
        <v>998267382</v>
      </c>
      <c r="AD32" t="str">
        <f>table_source_donnees[[#This Row],[Poste_Vendeur]]</f>
        <v>Gestionnaire des ventes</v>
      </c>
      <c r="AE32">
        <f>table_source_donnees[[#This Row],[Image_Vendeur]]</f>
        <v>0</v>
      </c>
      <c r="AF32" t="str">
        <f>table_source_donnees[[#This Row],[Etat_Donnees]]</f>
        <v>Modifié</v>
      </c>
    </row>
    <row r="33" spans="1:32" x14ac:dyDescent="0.25">
      <c r="A33">
        <f>table_source_donnees[[#This Row],[ID_Ligne_Commande]]</f>
        <v>24</v>
      </c>
      <c r="B33">
        <f>table_source_donnees[[#This Row],[ID_Commande]]</f>
        <v>7</v>
      </c>
      <c r="C33" t="str">
        <f>table_source_donnees[[#This Row],[ID_Produit]]</f>
        <v>ItalBouc</v>
      </c>
      <c r="D33">
        <f>table_source_donnees[[#This Row],[Quantite_Commande]]</f>
        <v>1</v>
      </c>
      <c r="E33">
        <f>table_source_donnees[[#This Row],[Prix_Unitaire]]</f>
        <v>200000</v>
      </c>
      <c r="F33">
        <f>table_source_donnees[[#This Row],[Total_Ligne]]</f>
        <v>200000</v>
      </c>
      <c r="G33" t="str">
        <f>table_source_donnees[[#This Row],[Date_Commmande]]</f>
        <v>23/08/2025 21:35:21</v>
      </c>
      <c r="H33">
        <f>table_source_donnees[[#This Row],[ID_Client]]</f>
        <v>4</v>
      </c>
      <c r="I33" t="str">
        <f>table_source_donnees[[#This Row],[ID_Vendeur]]</f>
        <v>RosLus</v>
      </c>
      <c r="J33" t="str">
        <f>table_source_donnees[[#This Row],[Statut_Commande]]</f>
        <v>Confirmée</v>
      </c>
      <c r="K33" t="str">
        <f>table_source_donnees[[#This Row],[Libellé_Produit]]</f>
        <v>Italy Cuir Boucle</v>
      </c>
      <c r="L33" t="str">
        <f>table_source_donnees[[#This Row],[Description_Produit]]</f>
        <v>-</v>
      </c>
      <c r="M33">
        <f>table_source_donnees[[#This Row],[Prix_Unitaire_Produit]]</f>
        <v>200000</v>
      </c>
      <c r="N33">
        <f>table_source_donnees[[#This Row],[Quantité_Stockée]]</f>
        <v>13</v>
      </c>
      <c r="O33" t="str">
        <f>table_source_donnees[[#This Row],[ID_Categorie_Produit]]</f>
        <v>Habill</v>
      </c>
      <c r="P33">
        <f>table_source_donnees[[#This Row],[Image_Produit]]</f>
        <v>0</v>
      </c>
      <c r="Q33" t="str">
        <f>table_source_donnees[[#This Row],[Nom_Categorie_Produit]]</f>
        <v>Habillement</v>
      </c>
      <c r="R33" t="str">
        <f>table_source_donnees[[#This Row],[Description_Categorie]]</f>
        <v>-</v>
      </c>
      <c r="S33" t="str">
        <f>table_source_donnees[[#This Row],[Nom_Client]]</f>
        <v>Mujinga</v>
      </c>
      <c r="T33" t="str">
        <f>table_source_donnees[[#This Row],[Prenom_Client]]</f>
        <v>Junior</v>
      </c>
      <c r="U33" t="str">
        <f>table_source_donnees[[#This Row],[Genre_Client]]</f>
        <v>Masculin</v>
      </c>
      <c r="V33" t="str">
        <f>table_source_donnees[[#This Row],[Email_Client]]</f>
        <v>-</v>
      </c>
      <c r="W33">
        <f>table_source_donnees[[#This Row],[Telephone_Client]]</f>
        <v>839203923</v>
      </c>
      <c r="X33" t="str">
        <f>table_source_donnees[[#This Row],[Adresse_Client]]</f>
        <v>Fleuve, Magasin, Kitambo</v>
      </c>
      <c r="Y33" t="str">
        <f>table_source_donnees[[#This Row],[Nom_Vendeur]]</f>
        <v>Lusamba</v>
      </c>
      <c r="Z33" t="str">
        <f>table_source_donnees[[#This Row],[Prenom_Vendeur]]</f>
        <v>Rosie</v>
      </c>
      <c r="AA33" t="str">
        <f>table_source_donnees[[#This Row],[Genre_Vendeur]]</f>
        <v>Féminin</v>
      </c>
      <c r="AB33" t="str">
        <f>table_source_donnees[[#This Row],[Email_Vendeur]]</f>
        <v>rosielusamba@gmail.com</v>
      </c>
      <c r="AC33">
        <f>table_source_donnees[[#This Row],[Telephone_Vendeur]]</f>
        <v>998267382</v>
      </c>
      <c r="AD33" t="str">
        <f>table_source_donnees[[#This Row],[Poste_Vendeur]]</f>
        <v>Gestionnaire des ventes</v>
      </c>
      <c r="AE33">
        <f>table_source_donnees[[#This Row],[Image_Vendeur]]</f>
        <v>0</v>
      </c>
      <c r="AF33" t="str">
        <f>table_source_donnees[[#This Row],[Etat_Donnees]]</f>
        <v>Initial</v>
      </c>
    </row>
    <row r="34" spans="1:32" x14ac:dyDescent="0.25">
      <c r="A34">
        <f>table_source_donnees[[#This Row],[ID_Ligne_Commande]]</f>
        <v>25</v>
      </c>
      <c r="B34">
        <f>table_source_donnees[[#This Row],[ID_Commande]]</f>
        <v>8</v>
      </c>
      <c r="C34" t="str">
        <f>table_source_donnees[[#This Row],[ID_Produit]]</f>
        <v>Roug</v>
      </c>
      <c r="D34">
        <f>table_source_donnees[[#This Row],[Quantite_Commande]]</f>
        <v>3</v>
      </c>
      <c r="E34">
        <f>table_source_donnees[[#This Row],[Prix_Unitaire]]</f>
        <v>1000</v>
      </c>
      <c r="F34">
        <f>table_source_donnees[[#This Row],[Total_Ligne]]</f>
        <v>3000</v>
      </c>
      <c r="G34" t="str">
        <f>table_source_donnees[[#This Row],[Date_Commmande]]</f>
        <v>23/08/2025 22:18:47</v>
      </c>
      <c r="H34">
        <f>table_source_donnees[[#This Row],[ID_Client]]</f>
        <v>7</v>
      </c>
      <c r="I34" t="str">
        <f>table_source_donnees[[#This Row],[ID_Vendeur]]</f>
        <v>BerMut</v>
      </c>
      <c r="J34" t="str">
        <f>table_source_donnees[[#This Row],[Statut_Commande]]</f>
        <v>Confirmée</v>
      </c>
      <c r="K34" t="str">
        <f>table_source_donnees[[#This Row],[Libellé_Produit]]</f>
        <v>Rouge à lèvres</v>
      </c>
      <c r="L34" t="str">
        <f>table_source_donnees[[#This Row],[Description_Produit]]</f>
        <v>Meilleur pour les levres</v>
      </c>
      <c r="M34">
        <f>table_source_donnees[[#This Row],[Prix_Unitaire_Produit]]</f>
        <v>1000</v>
      </c>
      <c r="N34">
        <f>table_source_donnees[[#This Row],[Quantité_Stockée]]</f>
        <v>137</v>
      </c>
      <c r="O34" t="str">
        <f>table_source_donnees[[#This Row],[ID_Categorie_Produit]]</f>
        <v>Cosm</v>
      </c>
      <c r="P34">
        <f>table_source_donnees[[#This Row],[Image_Produit]]</f>
        <v>0</v>
      </c>
      <c r="Q34" t="str">
        <f>table_source_donnees[[#This Row],[Nom_Categorie_Produit]]</f>
        <v>Cosmétique</v>
      </c>
      <c r="R34" t="str">
        <f>table_source_donnees[[#This Row],[Description_Categorie]]</f>
        <v>Le meilleur des catégories</v>
      </c>
      <c r="S34" t="str">
        <f>table_source_donnees[[#This Row],[Nom_Client]]</f>
        <v>Mbata</v>
      </c>
      <c r="T34" t="str">
        <f>table_source_donnees[[#This Row],[Prenom_Client]]</f>
        <v>Prospère</v>
      </c>
      <c r="U34" t="str">
        <f>table_source_donnees[[#This Row],[Genre_Client]]</f>
        <v>Masculin</v>
      </c>
      <c r="V34" t="str">
        <f>table_source_donnees[[#This Row],[Email_Client]]</f>
        <v>-</v>
      </c>
      <c r="W34">
        <f>table_source_donnees[[#This Row],[Telephone_Client]]</f>
        <v>817283928</v>
      </c>
      <c r="X34" t="str">
        <f>table_source_donnees[[#This Row],[Adresse_Client]]</f>
        <v>Maman Mobutu, Mont-Ngafula, Kinshasa</v>
      </c>
      <c r="Y34" t="str">
        <f>table_source_donnees[[#This Row],[Nom_Vendeur]]</f>
        <v>Mutuala</v>
      </c>
      <c r="Z34" t="str">
        <f>table_source_donnees[[#This Row],[Prenom_Vendeur]]</f>
        <v>Bernard</v>
      </c>
      <c r="AA34" t="str">
        <f>table_source_donnees[[#This Row],[Genre_Vendeur]]</f>
        <v>Masculin</v>
      </c>
      <c r="AB34" t="str">
        <f>table_source_donnees[[#This Row],[Email_Vendeur]]</f>
        <v>bernardmutuala@gmail.com</v>
      </c>
      <c r="AC34">
        <f>table_source_donnees[[#This Row],[Telephone_Vendeur]]</f>
        <v>812598453</v>
      </c>
      <c r="AD34" t="str">
        <f>table_source_donnees[[#This Row],[Poste_Vendeur]]</f>
        <v>Gestionnaire des ventes</v>
      </c>
      <c r="AE34">
        <f>table_source_donnees[[#This Row],[Image_Vendeur]]</f>
        <v>0</v>
      </c>
      <c r="AF34" t="str">
        <f>table_source_donnees[[#This Row],[Etat_Donnees]]</f>
        <v>Initial</v>
      </c>
    </row>
    <row r="35" spans="1:32" x14ac:dyDescent="0.25">
      <c r="A35">
        <f>table_source_donnees[[#This Row],[ID_Ligne_Commande]]</f>
        <v>26</v>
      </c>
      <c r="B35">
        <f>table_source_donnees[[#This Row],[ID_Commande]]</f>
        <v>4</v>
      </c>
      <c r="C35" t="str">
        <f>table_source_donnees[[#This Row],[ID_Produit]]</f>
        <v>Toma2</v>
      </c>
      <c r="D35">
        <f>table_source_donnees[[#This Row],[Quantite_Commande]]</f>
        <v>3</v>
      </c>
      <c r="E35">
        <f>table_source_donnees[[#This Row],[Prix_Unitaire]]</f>
        <v>450</v>
      </c>
      <c r="F35">
        <f>table_source_donnees[[#This Row],[Total_Ligne]]</f>
        <v>1350</v>
      </c>
      <c r="G35" t="str">
        <f>table_source_donnees[[#This Row],[Date_Commmande]]</f>
        <v>23/08/2025 11:55:07</v>
      </c>
      <c r="H35">
        <f>table_source_donnees[[#This Row],[ID_Client]]</f>
        <v>2</v>
      </c>
      <c r="I35" t="str">
        <f>table_source_donnees[[#This Row],[ID_Vendeur]]</f>
        <v>TshiAgn</v>
      </c>
      <c r="J35" t="str">
        <f>table_source_donnees[[#This Row],[Statut_Commande]]</f>
        <v>Confirmée</v>
      </c>
      <c r="K35" t="str">
        <f>table_source_donnees[[#This Row],[Libellé_Produit]]</f>
        <v>Tomate Suisse</v>
      </c>
      <c r="L35" t="str">
        <f>table_source_donnees[[#This Row],[Description_Produit]]</f>
        <v>-</v>
      </c>
      <c r="M35">
        <f>table_source_donnees[[#This Row],[Prix_Unitaire_Produit]]</f>
        <v>450</v>
      </c>
      <c r="N35">
        <f>table_source_donnees[[#This Row],[Quantité_Stockée]]</f>
        <v>286</v>
      </c>
      <c r="O35" t="str">
        <f>table_source_donnees[[#This Row],[ID_Categorie_Produit]]</f>
        <v>Cuisi</v>
      </c>
      <c r="P35">
        <f>table_source_donnees[[#This Row],[Image_Produit]]</f>
        <v>0</v>
      </c>
      <c r="Q35" t="str">
        <f>table_source_donnees[[#This Row],[Nom_Categorie_Produit]]</f>
        <v>Cuisine</v>
      </c>
      <c r="R35" t="str">
        <f>table_source_donnees[[#This Row],[Description_Categorie]]</f>
        <v>Optionnel</v>
      </c>
      <c r="S35" t="str">
        <f>table_source_donnees[[#This Row],[Nom_Client]]</f>
        <v>Tshibuabua</v>
      </c>
      <c r="T35" t="str">
        <f>table_source_donnees[[#This Row],[Prenom_Client]]</f>
        <v>Adella</v>
      </c>
      <c r="U35" t="str">
        <f>table_source_donnees[[#This Row],[Genre_Client]]</f>
        <v>Féminin</v>
      </c>
      <c r="V35" t="str">
        <f>table_source_donnees[[#This Row],[Email_Client]]</f>
        <v>-</v>
      </c>
      <c r="W35">
        <f>table_source_donnees[[#This Row],[Telephone_Client]]</f>
        <v>987364782</v>
      </c>
      <c r="X35" t="str">
        <f>table_source_donnees[[#This Row],[Adresse_Client]]</f>
        <v>Masanga-Mbila, Mont-Ngafula, Kinshasa</v>
      </c>
      <c r="Y35" t="str">
        <f>table_source_donnees[[#This Row],[Nom_Vendeur]]</f>
        <v>Tshiyoyi</v>
      </c>
      <c r="Z35" t="str">
        <f>table_source_donnees[[#This Row],[Prenom_Vendeur]]</f>
        <v>Agnès</v>
      </c>
      <c r="AA35" t="str">
        <f>table_source_donnees[[#This Row],[Genre_Vendeur]]</f>
        <v>Féminin</v>
      </c>
      <c r="AB35" t="str">
        <f>table_source_donnees[[#This Row],[Email_Vendeur]]</f>
        <v>tshiyoyiagnes@gmail.com</v>
      </c>
      <c r="AC35">
        <f>table_source_donnees[[#This Row],[Telephone_Vendeur]]</f>
        <v>928928292</v>
      </c>
      <c r="AD35" t="str">
        <f>table_source_donnees[[#This Row],[Poste_Vendeur]]</f>
        <v>Gestionnaire des ventes</v>
      </c>
      <c r="AE35">
        <f>table_source_donnees[[#This Row],[Image_Vendeur]]</f>
        <v>0</v>
      </c>
      <c r="AF35" t="str">
        <f>table_source_donnees[[#This Row],[Etat_Donnees]]</f>
        <v>Initial</v>
      </c>
    </row>
    <row r="36" spans="1:32" x14ac:dyDescent="0.25">
      <c r="A36">
        <f>table_source_donnees[[#This Row],[ID_Ligne_Commande]]</f>
        <v>27</v>
      </c>
      <c r="B36">
        <f>table_source_donnees[[#This Row],[ID_Commande]]</f>
        <v>10</v>
      </c>
      <c r="C36" t="str">
        <f>table_source_donnees[[#This Row],[ID_Produit]]</f>
        <v>Cray</v>
      </c>
      <c r="D36">
        <f>table_source_donnees[[#This Row],[Quantite_Commande]]</f>
        <v>2</v>
      </c>
      <c r="E36">
        <f>table_source_donnees[[#This Row],[Prix_Unitaire]]</f>
        <v>1500</v>
      </c>
      <c r="F36">
        <f>table_source_donnees[[#This Row],[Total_Ligne]]</f>
        <v>3000</v>
      </c>
      <c r="G36" t="str">
        <f>table_source_donnees[[#This Row],[Date_Commmande]]</f>
        <v>24/08/2025 23:38:49</v>
      </c>
      <c r="H36">
        <f>table_source_donnees[[#This Row],[ID_Client]]</f>
        <v>5</v>
      </c>
      <c r="I36" t="str">
        <f>table_source_donnees[[#This Row],[ID_Vendeur]]</f>
        <v>TshiAgn</v>
      </c>
      <c r="J36" t="str">
        <f>table_source_donnees[[#This Row],[Statut_Commande]]</f>
        <v>Confirmée</v>
      </c>
      <c r="K36" t="str">
        <f>table_source_donnees[[#This Row],[Libellé_Produit]]</f>
        <v>Crayon Cils</v>
      </c>
      <c r="L36" t="str">
        <f>table_source_donnees[[#This Row],[Description_Produit]]</f>
        <v>Optionnel</v>
      </c>
      <c r="M36">
        <f>table_source_donnees[[#This Row],[Prix_Unitaire_Produit]]</f>
        <v>1500</v>
      </c>
      <c r="N36">
        <f>table_source_donnees[[#This Row],[Quantité_Stockée]]</f>
        <v>162</v>
      </c>
      <c r="O36" t="str">
        <f>table_source_donnees[[#This Row],[ID_Categorie_Produit]]</f>
        <v>Cosm</v>
      </c>
      <c r="P36">
        <f>table_source_donnees[[#This Row],[Image_Produit]]</f>
        <v>0</v>
      </c>
      <c r="Q36" t="str">
        <f>table_source_donnees[[#This Row],[Nom_Categorie_Produit]]</f>
        <v>Cosmétique</v>
      </c>
      <c r="R36" t="str">
        <f>table_source_donnees[[#This Row],[Description_Categorie]]</f>
        <v>Le meilleur des catégories</v>
      </c>
      <c r="S36" t="str">
        <f>table_source_donnees[[#This Row],[Nom_Client]]</f>
        <v>Muela</v>
      </c>
      <c r="T36" t="str">
        <f>table_source_donnees[[#This Row],[Prenom_Client]]</f>
        <v>Cédric</v>
      </c>
      <c r="U36" t="str">
        <f>table_source_donnees[[#This Row],[Genre_Client]]</f>
        <v>Masculin</v>
      </c>
      <c r="V36" t="str">
        <f>table_source_donnees[[#This Row],[Email_Client]]</f>
        <v>-</v>
      </c>
      <c r="W36">
        <f>table_source_donnees[[#This Row],[Telephone_Client]]</f>
        <v>987257384</v>
      </c>
      <c r="X36" t="str">
        <f>table_source_donnees[[#This Row],[Adresse_Client]]</f>
        <v>Tshangu, Kimbanseke, Kingasani</v>
      </c>
      <c r="Y36" t="str">
        <f>table_source_donnees[[#This Row],[Nom_Vendeur]]</f>
        <v>Tshiyoyi</v>
      </c>
      <c r="Z36" t="str">
        <f>table_source_donnees[[#This Row],[Prenom_Vendeur]]</f>
        <v>Agnès</v>
      </c>
      <c r="AA36" t="str">
        <f>table_source_donnees[[#This Row],[Genre_Vendeur]]</f>
        <v>Féminin</v>
      </c>
      <c r="AB36" t="str">
        <f>table_source_donnees[[#This Row],[Email_Vendeur]]</f>
        <v>tshiyoyiagnes@gmail.com</v>
      </c>
      <c r="AC36">
        <f>table_source_donnees[[#This Row],[Telephone_Vendeur]]</f>
        <v>928928292</v>
      </c>
      <c r="AD36" t="str">
        <f>table_source_donnees[[#This Row],[Poste_Vendeur]]</f>
        <v>Gestionnaire des ventes</v>
      </c>
      <c r="AE36">
        <f>table_source_donnees[[#This Row],[Image_Vendeur]]</f>
        <v>0</v>
      </c>
      <c r="AF36" t="str">
        <f>table_source_donnees[[#This Row],[Etat_Donnees]]</f>
        <v>Initial</v>
      </c>
    </row>
    <row r="37" spans="1:32" x14ac:dyDescent="0.25">
      <c r="A37">
        <f>table_source_donnees[[#This Row],[ID_Ligne_Commande]]</f>
        <v>28</v>
      </c>
      <c r="B37">
        <f>table_source_donnees[[#This Row],[ID_Commande]]</f>
        <v>10</v>
      </c>
      <c r="C37" t="str">
        <f>table_source_donnees[[#This Row],[ID_Produit]]</f>
        <v>Sel</v>
      </c>
      <c r="D37">
        <f>table_source_donnees[[#This Row],[Quantite_Commande]]</f>
        <v>1</v>
      </c>
      <c r="E37">
        <f>table_source_donnees[[#This Row],[Prix_Unitaire]]</f>
        <v>50000</v>
      </c>
      <c r="F37">
        <f>table_source_donnees[[#This Row],[Total_Ligne]]</f>
        <v>50000</v>
      </c>
      <c r="G37" t="str">
        <f>table_source_donnees[[#This Row],[Date_Commmande]]</f>
        <v>24/08/2025 23:38:49</v>
      </c>
      <c r="H37">
        <f>table_source_donnees[[#This Row],[ID_Client]]</f>
        <v>5</v>
      </c>
      <c r="I37" t="str">
        <f>table_source_donnees[[#This Row],[ID_Vendeur]]</f>
        <v>TshiAgn</v>
      </c>
      <c r="J37" t="str">
        <f>table_source_donnees[[#This Row],[Statut_Commande]]</f>
        <v>Confirmée</v>
      </c>
      <c r="K37" t="str">
        <f>table_source_donnees[[#This Row],[Libellé_Produit]]</f>
        <v>Sel de table</v>
      </c>
      <c r="L37" t="str">
        <f>table_source_donnees[[#This Row],[Description_Produit]]</f>
        <v>Optionnelle</v>
      </c>
      <c r="M37">
        <f>table_source_donnees[[#This Row],[Prix_Unitaire_Produit]]</f>
        <v>50000</v>
      </c>
      <c r="N37">
        <f>table_source_donnees[[#This Row],[Quantité_Stockée]]</f>
        <v>8</v>
      </c>
      <c r="O37" t="str">
        <f>table_source_donnees[[#This Row],[ID_Categorie_Produit]]</f>
        <v>Cuisi</v>
      </c>
      <c r="P37">
        <f>table_source_donnees[[#This Row],[Image_Produit]]</f>
        <v>0</v>
      </c>
      <c r="Q37" t="str">
        <f>table_source_donnees[[#This Row],[Nom_Categorie_Produit]]</f>
        <v>Cuisine</v>
      </c>
      <c r="R37" t="str">
        <f>table_source_donnees[[#This Row],[Description_Categorie]]</f>
        <v>Optionnel</v>
      </c>
      <c r="S37" t="str">
        <f>table_source_donnees[[#This Row],[Nom_Client]]</f>
        <v>Muela</v>
      </c>
      <c r="T37" t="str">
        <f>table_source_donnees[[#This Row],[Prenom_Client]]</f>
        <v>Cédric</v>
      </c>
      <c r="U37" t="str">
        <f>table_source_donnees[[#This Row],[Genre_Client]]</f>
        <v>Masculin</v>
      </c>
      <c r="V37" t="str">
        <f>table_source_donnees[[#This Row],[Email_Client]]</f>
        <v>-</v>
      </c>
      <c r="W37">
        <f>table_source_donnees[[#This Row],[Telephone_Client]]</f>
        <v>987257384</v>
      </c>
      <c r="X37" t="str">
        <f>table_source_donnees[[#This Row],[Adresse_Client]]</f>
        <v>Tshangu, Kimbanseke, Kingasani</v>
      </c>
      <c r="Y37" t="str">
        <f>table_source_donnees[[#This Row],[Nom_Vendeur]]</f>
        <v>Tshiyoyi</v>
      </c>
      <c r="Z37" t="str">
        <f>table_source_donnees[[#This Row],[Prenom_Vendeur]]</f>
        <v>Agnès</v>
      </c>
      <c r="AA37" t="str">
        <f>table_source_donnees[[#This Row],[Genre_Vendeur]]</f>
        <v>Féminin</v>
      </c>
      <c r="AB37" t="str">
        <f>table_source_donnees[[#This Row],[Email_Vendeur]]</f>
        <v>tshiyoyiagnes@gmail.com</v>
      </c>
      <c r="AC37">
        <f>table_source_donnees[[#This Row],[Telephone_Vendeur]]</f>
        <v>928928292</v>
      </c>
      <c r="AD37" t="str">
        <f>table_source_donnees[[#This Row],[Poste_Vendeur]]</f>
        <v>Gestionnaire des ventes</v>
      </c>
      <c r="AE37">
        <f>table_source_donnees[[#This Row],[Image_Vendeur]]</f>
        <v>0</v>
      </c>
      <c r="AF37" t="str">
        <f>table_source_donnees[[#This Row],[Etat_Donnees]]</f>
        <v>Initial</v>
      </c>
    </row>
    <row r="38" spans="1:32" x14ac:dyDescent="0.25">
      <c r="A38">
        <f>table_source_donnees[[#This Row],[ID_Ligne_Commande]]</f>
        <v>29</v>
      </c>
      <c r="B38">
        <f>table_source_donnees[[#This Row],[ID_Commande]]</f>
        <v>10</v>
      </c>
      <c r="C38" t="str">
        <f>table_source_donnees[[#This Row],[ID_Produit]]</f>
        <v>Toma1</v>
      </c>
      <c r="D38">
        <f>table_source_donnees[[#This Row],[Quantite_Commande]]</f>
        <v>2</v>
      </c>
      <c r="E38">
        <f>table_source_donnees[[#This Row],[Prix_Unitaire]]</f>
        <v>500</v>
      </c>
      <c r="F38">
        <f>table_source_donnees[[#This Row],[Total_Ligne]]</f>
        <v>1000</v>
      </c>
      <c r="G38" t="str">
        <f>table_source_donnees[[#This Row],[Date_Commmande]]</f>
        <v>24/08/2025 23:38:49</v>
      </c>
      <c r="H38">
        <f>table_source_donnees[[#This Row],[ID_Client]]</f>
        <v>5</v>
      </c>
      <c r="I38" t="str">
        <f>table_source_donnees[[#This Row],[ID_Vendeur]]</f>
        <v>TshiAgn</v>
      </c>
      <c r="J38" t="str">
        <f>table_source_donnees[[#This Row],[Statut_Commande]]</f>
        <v>Confirmée</v>
      </c>
      <c r="K38" t="str">
        <f>table_source_donnees[[#This Row],[Libellé_Produit]]</f>
        <v>Tomate Appolo</v>
      </c>
      <c r="L38" t="str">
        <f>table_source_donnees[[#This Row],[Description_Produit]]</f>
        <v>-</v>
      </c>
      <c r="M38">
        <f>table_source_donnees[[#This Row],[Prix_Unitaire_Produit]]</f>
        <v>500</v>
      </c>
      <c r="N38">
        <f>table_source_donnees[[#This Row],[Quantité_Stockée]]</f>
        <v>291</v>
      </c>
      <c r="O38" t="str">
        <f>table_source_donnees[[#This Row],[ID_Categorie_Produit]]</f>
        <v>Cuisi</v>
      </c>
      <c r="P38">
        <f>table_source_donnees[[#This Row],[Image_Produit]]</f>
        <v>0</v>
      </c>
      <c r="Q38" t="str">
        <f>table_source_donnees[[#This Row],[Nom_Categorie_Produit]]</f>
        <v>Cuisine</v>
      </c>
      <c r="R38" t="str">
        <f>table_source_donnees[[#This Row],[Description_Categorie]]</f>
        <v>Optionnel</v>
      </c>
      <c r="S38" t="str">
        <f>table_source_donnees[[#This Row],[Nom_Client]]</f>
        <v>Muela</v>
      </c>
      <c r="T38" t="str">
        <f>table_source_donnees[[#This Row],[Prenom_Client]]</f>
        <v>Cédric</v>
      </c>
      <c r="U38" t="str">
        <f>table_source_donnees[[#This Row],[Genre_Client]]</f>
        <v>Masculin</v>
      </c>
      <c r="V38" t="str">
        <f>table_source_donnees[[#This Row],[Email_Client]]</f>
        <v>-</v>
      </c>
      <c r="W38">
        <f>table_source_donnees[[#This Row],[Telephone_Client]]</f>
        <v>987257384</v>
      </c>
      <c r="X38" t="str">
        <f>table_source_donnees[[#This Row],[Adresse_Client]]</f>
        <v>Tshangu, Kimbanseke, Kingasani</v>
      </c>
      <c r="Y38" t="str">
        <f>table_source_donnees[[#This Row],[Nom_Vendeur]]</f>
        <v>Tshiyoyi</v>
      </c>
      <c r="Z38" t="str">
        <f>table_source_donnees[[#This Row],[Prenom_Vendeur]]</f>
        <v>Agnès</v>
      </c>
      <c r="AA38" t="str">
        <f>table_source_donnees[[#This Row],[Genre_Vendeur]]</f>
        <v>Féminin</v>
      </c>
      <c r="AB38" t="str">
        <f>table_source_donnees[[#This Row],[Email_Vendeur]]</f>
        <v>tshiyoyiagnes@gmail.com</v>
      </c>
      <c r="AC38">
        <f>table_source_donnees[[#This Row],[Telephone_Vendeur]]</f>
        <v>928928292</v>
      </c>
      <c r="AD38" t="str">
        <f>table_source_donnees[[#This Row],[Poste_Vendeur]]</f>
        <v>Gestionnaire des ventes</v>
      </c>
      <c r="AE38">
        <f>table_source_donnees[[#This Row],[Image_Vendeur]]</f>
        <v>0</v>
      </c>
      <c r="AF38" t="str">
        <f>table_source_donnees[[#This Row],[Etat_Donnees]]</f>
        <v>Initial</v>
      </c>
    </row>
    <row r="39" spans="1:32" x14ac:dyDescent="0.25">
      <c r="A39">
        <f>table_source_donnees[[#This Row],[ID_Ligne_Commande]]</f>
        <v>30</v>
      </c>
      <c r="B39">
        <f>table_source_donnees[[#This Row],[ID_Commande]]</f>
        <v>10</v>
      </c>
      <c r="C39" t="str">
        <f>table_source_donnees[[#This Row],[ID_Produit]]</f>
        <v>Vidag</v>
      </c>
      <c r="D39">
        <f>table_source_donnees[[#This Row],[Quantite_Commande]]</f>
        <v>2</v>
      </c>
      <c r="E39">
        <f>table_source_donnees[[#This Row],[Prix_Unitaire]]</f>
        <v>5000</v>
      </c>
      <c r="F39">
        <f>table_source_donnees[[#This Row],[Total_Ligne]]</f>
        <v>10000</v>
      </c>
      <c r="G39" t="str">
        <f>table_source_donnees[[#This Row],[Date_Commmande]]</f>
        <v>24/08/2025 23:38:49</v>
      </c>
      <c r="H39">
        <f>table_source_donnees[[#This Row],[ID_Client]]</f>
        <v>5</v>
      </c>
      <c r="I39" t="str">
        <f>table_source_donnees[[#This Row],[ID_Vendeur]]</f>
        <v>TshiAgn</v>
      </c>
      <c r="J39" t="str">
        <f>table_source_donnees[[#This Row],[Statut_Commande]]</f>
        <v>Confirmée</v>
      </c>
      <c r="K39" t="str">
        <f>table_source_donnees[[#This Row],[Libellé_Produit]]</f>
        <v>Vidage 1 litre</v>
      </c>
      <c r="L39" t="str">
        <f>table_source_donnees[[#This Row],[Description_Produit]]</f>
        <v>-</v>
      </c>
      <c r="M39">
        <f>table_source_donnees[[#This Row],[Prix_Unitaire_Produit]]</f>
        <v>5000</v>
      </c>
      <c r="N39">
        <f>table_source_donnees[[#This Row],[Quantité_Stockée]]</f>
        <v>96</v>
      </c>
      <c r="O39" t="str">
        <f>table_source_donnees[[#This Row],[ID_Categorie_Produit]]</f>
        <v>Mecan</v>
      </c>
      <c r="P39">
        <f>table_source_donnees[[#This Row],[Image_Produit]]</f>
        <v>0</v>
      </c>
      <c r="Q39" t="str">
        <f>table_source_donnees[[#This Row],[Nom_Categorie_Produit]]</f>
        <v>Mécanique</v>
      </c>
      <c r="R39" t="str">
        <f>table_source_donnees[[#This Row],[Description_Categorie]]</f>
        <v>-</v>
      </c>
      <c r="S39" t="str">
        <f>table_source_donnees[[#This Row],[Nom_Client]]</f>
        <v>Muela</v>
      </c>
      <c r="T39" t="str">
        <f>table_source_donnees[[#This Row],[Prenom_Client]]</f>
        <v>Cédric</v>
      </c>
      <c r="U39" t="str">
        <f>table_source_donnees[[#This Row],[Genre_Client]]</f>
        <v>Masculin</v>
      </c>
      <c r="V39" t="str">
        <f>table_source_donnees[[#This Row],[Email_Client]]</f>
        <v>-</v>
      </c>
      <c r="W39">
        <f>table_source_donnees[[#This Row],[Telephone_Client]]</f>
        <v>987257384</v>
      </c>
      <c r="X39" t="str">
        <f>table_source_donnees[[#This Row],[Adresse_Client]]</f>
        <v>Tshangu, Kimbanseke, Kingasani</v>
      </c>
      <c r="Y39" t="str">
        <f>table_source_donnees[[#This Row],[Nom_Vendeur]]</f>
        <v>Tshiyoyi</v>
      </c>
      <c r="Z39" t="str">
        <f>table_source_donnees[[#This Row],[Prenom_Vendeur]]</f>
        <v>Agnès</v>
      </c>
      <c r="AA39" t="str">
        <f>table_source_donnees[[#This Row],[Genre_Vendeur]]</f>
        <v>Féminin</v>
      </c>
      <c r="AB39" t="str">
        <f>table_source_donnees[[#This Row],[Email_Vendeur]]</f>
        <v>tshiyoyiagnes@gmail.com</v>
      </c>
      <c r="AC39">
        <f>table_source_donnees[[#This Row],[Telephone_Vendeur]]</f>
        <v>928928292</v>
      </c>
      <c r="AD39" t="str">
        <f>table_source_donnees[[#This Row],[Poste_Vendeur]]</f>
        <v>Gestionnaire des ventes</v>
      </c>
      <c r="AE39">
        <f>table_source_donnees[[#This Row],[Image_Vendeur]]</f>
        <v>0</v>
      </c>
      <c r="AF39" t="str">
        <f>table_source_donnees[[#This Row],[Etat_Donnees]]</f>
        <v>Initial</v>
      </c>
    </row>
    <row r="40" spans="1:32" x14ac:dyDescent="0.25">
      <c r="A40">
        <f>table_source_donnees[[#This Row],[ID_Ligne_Commande]]</f>
        <v>31</v>
      </c>
      <c r="B40">
        <f>table_source_donnees[[#This Row],[ID_Commande]]</f>
        <v>11</v>
      </c>
      <c r="C40" t="str">
        <f>table_source_donnees[[#This Row],[ID_Produit]]</f>
        <v>Cray</v>
      </c>
      <c r="D40">
        <f>table_source_donnees[[#This Row],[Quantite_Commande]]</f>
        <v>2</v>
      </c>
      <c r="E40">
        <f>table_source_donnees[[#This Row],[Prix_Unitaire]]</f>
        <v>1500</v>
      </c>
      <c r="F40">
        <f>table_source_donnees[[#This Row],[Total_Ligne]]</f>
        <v>3000</v>
      </c>
      <c r="G40" t="str">
        <f>table_source_donnees[[#This Row],[Date_Commmande]]</f>
        <v>24/08/2025 23:42:56</v>
      </c>
      <c r="H40">
        <f>table_source_donnees[[#This Row],[ID_Client]]</f>
        <v>6</v>
      </c>
      <c r="I40" t="str">
        <f>table_source_donnees[[#This Row],[ID_Vendeur]]</f>
        <v>BerMut</v>
      </c>
      <c r="J40" t="str">
        <f>table_source_donnees[[#This Row],[Statut_Commande]]</f>
        <v>Confirmée</v>
      </c>
      <c r="K40" t="str">
        <f>table_source_donnees[[#This Row],[Libellé_Produit]]</f>
        <v>Crayon Cils</v>
      </c>
      <c r="L40" t="str">
        <f>table_source_donnees[[#This Row],[Description_Produit]]</f>
        <v>Optionnel</v>
      </c>
      <c r="M40">
        <f>table_source_donnees[[#This Row],[Prix_Unitaire_Produit]]</f>
        <v>1500</v>
      </c>
      <c r="N40">
        <f>table_source_donnees[[#This Row],[Quantité_Stockée]]</f>
        <v>160</v>
      </c>
      <c r="O40" t="str">
        <f>table_source_donnees[[#This Row],[ID_Categorie_Produit]]</f>
        <v>Cosm</v>
      </c>
      <c r="P40">
        <f>table_source_donnees[[#This Row],[Image_Produit]]</f>
        <v>0</v>
      </c>
      <c r="Q40" t="str">
        <f>table_source_donnees[[#This Row],[Nom_Categorie_Produit]]</f>
        <v>Cosmétique</v>
      </c>
      <c r="R40" t="str">
        <f>table_source_donnees[[#This Row],[Description_Categorie]]</f>
        <v>Le meilleur des catégories</v>
      </c>
      <c r="S40" t="str">
        <f>table_source_donnees[[#This Row],[Nom_Client]]</f>
        <v>Mputu</v>
      </c>
      <c r="T40" t="str">
        <f>table_source_donnees[[#This Row],[Prenom_Client]]</f>
        <v>Claris</v>
      </c>
      <c r="U40" t="str">
        <f>table_source_donnees[[#This Row],[Genre_Client]]</f>
        <v>Féminin</v>
      </c>
      <c r="V40" t="str">
        <f>table_source_donnees[[#This Row],[Email_Client]]</f>
        <v>-</v>
      </c>
      <c r="W40">
        <f>table_source_donnees[[#This Row],[Telephone_Client]]</f>
        <v>982738472</v>
      </c>
      <c r="X40" t="str">
        <f>table_source_donnees[[#This Row],[Adresse_Client]]</f>
        <v>Mont-Amba, Lemba, Righini</v>
      </c>
      <c r="Y40" t="str">
        <f>table_source_donnees[[#This Row],[Nom_Vendeur]]</f>
        <v>Mutuala</v>
      </c>
      <c r="Z40" t="str">
        <f>table_source_donnees[[#This Row],[Prenom_Vendeur]]</f>
        <v>Bernard</v>
      </c>
      <c r="AA40" t="str">
        <f>table_source_donnees[[#This Row],[Genre_Vendeur]]</f>
        <v>Masculin</v>
      </c>
      <c r="AB40" t="str">
        <f>table_source_donnees[[#This Row],[Email_Vendeur]]</f>
        <v>bernardmutuala@gmail.com</v>
      </c>
      <c r="AC40">
        <f>table_source_donnees[[#This Row],[Telephone_Vendeur]]</f>
        <v>812598453</v>
      </c>
      <c r="AD40" t="str">
        <f>table_source_donnees[[#This Row],[Poste_Vendeur]]</f>
        <v>Gestionnaire des ventes</v>
      </c>
      <c r="AE40">
        <f>table_source_donnees[[#This Row],[Image_Vendeur]]</f>
        <v>0</v>
      </c>
      <c r="AF40" t="str">
        <f>table_source_donnees[[#This Row],[Etat_Donnees]]</f>
        <v>Initial</v>
      </c>
    </row>
    <row r="41" spans="1:32" x14ac:dyDescent="0.25">
      <c r="A41">
        <f>table_source_donnees[[#This Row],[ID_Ligne_Commande]]</f>
        <v>32</v>
      </c>
      <c r="B41">
        <f>table_source_donnees[[#This Row],[ID_Commande]]</f>
        <v>11</v>
      </c>
      <c r="C41" t="str">
        <f>table_source_donnees[[#This Row],[ID_Produit]]</f>
        <v>Sel2</v>
      </c>
      <c r="D41">
        <f>table_source_donnees[[#This Row],[Quantite_Commande]]</f>
        <v>2</v>
      </c>
      <c r="E41">
        <f>table_source_donnees[[#This Row],[Prix_Unitaire]]</f>
        <v>40000</v>
      </c>
      <c r="F41">
        <f>table_source_donnees[[#This Row],[Total_Ligne]]</f>
        <v>80000</v>
      </c>
      <c r="G41" t="str">
        <f>table_source_donnees[[#This Row],[Date_Commmande]]</f>
        <v>24/08/2025 23:42:56</v>
      </c>
      <c r="H41">
        <f>table_source_donnees[[#This Row],[ID_Client]]</f>
        <v>6</v>
      </c>
      <c r="I41" t="str">
        <f>table_source_donnees[[#This Row],[ID_Vendeur]]</f>
        <v>BerMut</v>
      </c>
      <c r="J41" t="str">
        <f>table_source_donnees[[#This Row],[Statut_Commande]]</f>
        <v>Confirmée</v>
      </c>
      <c r="K41" t="str">
        <f>table_source_donnees[[#This Row],[Libellé_Produit]]</f>
        <v>Sel à boules</v>
      </c>
      <c r="L41" t="str">
        <f>table_source_donnees[[#This Row],[Description_Produit]]</f>
        <v>Optionnelle</v>
      </c>
      <c r="M41">
        <f>table_source_donnees[[#This Row],[Prix_Unitaire_Produit]]</f>
        <v>40000</v>
      </c>
      <c r="N41">
        <f>table_source_donnees[[#This Row],[Quantité_Stockée]]</f>
        <v>21</v>
      </c>
      <c r="O41" t="str">
        <f>table_source_donnees[[#This Row],[ID_Categorie_Produit]]</f>
        <v>Cuisi</v>
      </c>
      <c r="P41">
        <f>table_source_donnees[[#This Row],[Image_Produit]]</f>
        <v>0</v>
      </c>
      <c r="Q41" t="str">
        <f>table_source_donnees[[#This Row],[Nom_Categorie_Produit]]</f>
        <v>Cuisine</v>
      </c>
      <c r="R41" t="str">
        <f>table_source_donnees[[#This Row],[Description_Categorie]]</f>
        <v>Optionnel</v>
      </c>
      <c r="S41" t="str">
        <f>table_source_donnees[[#This Row],[Nom_Client]]</f>
        <v>Mputu</v>
      </c>
      <c r="T41" t="str">
        <f>table_source_donnees[[#This Row],[Prenom_Client]]</f>
        <v>Claris</v>
      </c>
      <c r="U41" t="str">
        <f>table_source_donnees[[#This Row],[Genre_Client]]</f>
        <v>Féminin</v>
      </c>
      <c r="V41" t="str">
        <f>table_source_donnees[[#This Row],[Email_Client]]</f>
        <v>-</v>
      </c>
      <c r="W41">
        <f>table_source_donnees[[#This Row],[Telephone_Client]]</f>
        <v>982738472</v>
      </c>
      <c r="X41" t="str">
        <f>table_source_donnees[[#This Row],[Adresse_Client]]</f>
        <v>Mont-Amba, Lemba, Righini</v>
      </c>
      <c r="Y41" t="str">
        <f>table_source_donnees[[#This Row],[Nom_Vendeur]]</f>
        <v>Mutuala</v>
      </c>
      <c r="Z41" t="str">
        <f>table_source_donnees[[#This Row],[Prenom_Vendeur]]</f>
        <v>Bernard</v>
      </c>
      <c r="AA41" t="str">
        <f>table_source_donnees[[#This Row],[Genre_Vendeur]]</f>
        <v>Masculin</v>
      </c>
      <c r="AB41" t="str">
        <f>table_source_donnees[[#This Row],[Email_Vendeur]]</f>
        <v>bernardmutuala@gmail.com</v>
      </c>
      <c r="AC41">
        <f>table_source_donnees[[#This Row],[Telephone_Vendeur]]</f>
        <v>812598453</v>
      </c>
      <c r="AD41" t="str">
        <f>table_source_donnees[[#This Row],[Poste_Vendeur]]</f>
        <v>Gestionnaire des ventes</v>
      </c>
      <c r="AE41">
        <f>table_source_donnees[[#This Row],[Image_Vendeur]]</f>
        <v>0</v>
      </c>
      <c r="AF41" t="str">
        <f>table_source_donnees[[#This Row],[Etat_Donnees]]</f>
        <v>Initial</v>
      </c>
    </row>
    <row r="42" spans="1:32" x14ac:dyDescent="0.25">
      <c r="A42">
        <f>table_source_donnees[[#This Row],[ID_Ligne_Commande]]</f>
        <v>33</v>
      </c>
      <c r="B42">
        <f>table_source_donnees[[#This Row],[ID_Commande]]</f>
        <v>11</v>
      </c>
      <c r="C42" t="str">
        <f>table_source_donnees[[#This Row],[ID_Produit]]</f>
        <v>Sel2</v>
      </c>
      <c r="D42">
        <f>table_source_donnees[[#This Row],[Quantite_Commande]]</f>
        <v>2</v>
      </c>
      <c r="E42">
        <f>table_source_donnees[[#This Row],[Prix_Unitaire]]</f>
        <v>40000</v>
      </c>
      <c r="F42">
        <f>table_source_donnees[[#This Row],[Total_Ligne]]</f>
        <v>80000</v>
      </c>
      <c r="G42" t="str">
        <f>table_source_donnees[[#This Row],[Date_Commmande]]</f>
        <v>24/08/2025 23:42:56</v>
      </c>
      <c r="H42">
        <f>table_source_donnees[[#This Row],[ID_Client]]</f>
        <v>6</v>
      </c>
      <c r="I42" t="str">
        <f>table_source_donnees[[#This Row],[ID_Vendeur]]</f>
        <v>BerMut</v>
      </c>
      <c r="J42" t="str">
        <f>table_source_donnees[[#This Row],[Statut_Commande]]</f>
        <v>Confirmée</v>
      </c>
      <c r="K42" t="str">
        <f>table_source_donnees[[#This Row],[Libellé_Produit]]</f>
        <v>Sel à boules</v>
      </c>
      <c r="L42" t="str">
        <f>table_source_donnees[[#This Row],[Description_Produit]]</f>
        <v>Optionnelle</v>
      </c>
      <c r="M42">
        <f>table_source_donnees[[#This Row],[Prix_Unitaire_Produit]]</f>
        <v>40000</v>
      </c>
      <c r="N42">
        <f>table_source_donnees[[#This Row],[Quantité_Stockée]]</f>
        <v>19</v>
      </c>
      <c r="O42" t="str">
        <f>table_source_donnees[[#This Row],[ID_Categorie_Produit]]</f>
        <v>Cuisi</v>
      </c>
      <c r="P42">
        <f>table_source_donnees[[#This Row],[Image_Produit]]</f>
        <v>0</v>
      </c>
      <c r="Q42" t="str">
        <f>table_source_donnees[[#This Row],[Nom_Categorie_Produit]]</f>
        <v>Cuisine</v>
      </c>
      <c r="R42" t="str">
        <f>table_source_donnees[[#This Row],[Description_Categorie]]</f>
        <v>Optionnel</v>
      </c>
      <c r="S42" t="str">
        <f>table_source_donnees[[#This Row],[Nom_Client]]</f>
        <v>Mputu</v>
      </c>
      <c r="T42" t="str">
        <f>table_source_donnees[[#This Row],[Prenom_Client]]</f>
        <v>Claris</v>
      </c>
      <c r="U42" t="str">
        <f>table_source_donnees[[#This Row],[Genre_Client]]</f>
        <v>Féminin</v>
      </c>
      <c r="V42" t="str">
        <f>table_source_donnees[[#This Row],[Email_Client]]</f>
        <v>-</v>
      </c>
      <c r="W42">
        <f>table_source_donnees[[#This Row],[Telephone_Client]]</f>
        <v>982738472</v>
      </c>
      <c r="X42" t="str">
        <f>table_source_donnees[[#This Row],[Adresse_Client]]</f>
        <v>Mont-Amba, Lemba, Righini</v>
      </c>
      <c r="Y42" t="str">
        <f>table_source_donnees[[#This Row],[Nom_Vendeur]]</f>
        <v>Mutuala</v>
      </c>
      <c r="Z42" t="str">
        <f>table_source_donnees[[#This Row],[Prenom_Vendeur]]</f>
        <v>Bernard</v>
      </c>
      <c r="AA42" t="str">
        <f>table_source_donnees[[#This Row],[Genre_Vendeur]]</f>
        <v>Masculin</v>
      </c>
      <c r="AB42" t="str">
        <f>table_source_donnees[[#This Row],[Email_Vendeur]]</f>
        <v>bernardmutuala@gmail.com</v>
      </c>
      <c r="AC42">
        <f>table_source_donnees[[#This Row],[Telephone_Vendeur]]</f>
        <v>812598453</v>
      </c>
      <c r="AD42" t="str">
        <f>table_source_donnees[[#This Row],[Poste_Vendeur]]</f>
        <v>Gestionnaire des ventes</v>
      </c>
      <c r="AE42">
        <f>table_source_donnees[[#This Row],[Image_Vendeur]]</f>
        <v>0</v>
      </c>
      <c r="AF42" t="str">
        <f>table_source_donnees[[#This Row],[Etat_Donnees]]</f>
        <v>Initial</v>
      </c>
    </row>
    <row r="43" spans="1:32" x14ac:dyDescent="0.25">
      <c r="A43">
        <f>table_source_donnees[[#This Row],[ID_Ligne_Commande]]</f>
        <v>34</v>
      </c>
      <c r="B43">
        <f>table_source_donnees[[#This Row],[ID_Commande]]</f>
        <v>12</v>
      </c>
      <c r="C43" t="str">
        <f>table_source_donnees[[#This Row],[ID_Produit]]</f>
        <v>Bask</v>
      </c>
      <c r="D43">
        <f>table_source_donnees[[#This Row],[Quantite_Commande]]</f>
        <v>1</v>
      </c>
      <c r="E43">
        <f>table_source_donnees[[#This Row],[Prix_Unitaire]]</f>
        <v>50000</v>
      </c>
      <c r="F43">
        <f>table_source_donnees[[#This Row],[Total_Ligne]]</f>
        <v>50000</v>
      </c>
      <c r="G43" t="str">
        <f>table_source_donnees[[#This Row],[Date_Commmande]]</f>
        <v>24/08/2025 23:44:12</v>
      </c>
      <c r="H43">
        <f>table_source_donnees[[#This Row],[ID_Client]]</f>
        <v>8</v>
      </c>
      <c r="I43" t="str">
        <f>table_source_donnees[[#This Row],[ID_Vendeur]]</f>
        <v>BerMut</v>
      </c>
      <c r="J43" t="str">
        <f>table_source_donnees[[#This Row],[Statut_Commande]]</f>
        <v>Confirmée</v>
      </c>
      <c r="K43" t="str">
        <f>table_source_donnees[[#This Row],[Libellé_Produit]]</f>
        <v>Basket Air Force</v>
      </c>
      <c r="L43" t="str">
        <f>table_source_donnees[[#This Row],[Description_Produit]]</f>
        <v>-</v>
      </c>
      <c r="M43">
        <f>table_source_donnees[[#This Row],[Prix_Unitaire_Produit]]</f>
        <v>50000</v>
      </c>
      <c r="N43">
        <f>table_source_donnees[[#This Row],[Quantité_Stockée]]</f>
        <v>33</v>
      </c>
      <c r="O43" t="str">
        <f>table_source_donnees[[#This Row],[ID_Categorie_Produit]]</f>
        <v>Habill</v>
      </c>
      <c r="P43">
        <f>table_source_donnees[[#This Row],[Image_Produit]]</f>
        <v>0</v>
      </c>
      <c r="Q43" t="str">
        <f>table_source_donnees[[#This Row],[Nom_Categorie_Produit]]</f>
        <v>Habillement</v>
      </c>
      <c r="R43" t="str">
        <f>table_source_donnees[[#This Row],[Description_Categorie]]</f>
        <v>-</v>
      </c>
      <c r="S43" t="str">
        <f>table_source_donnees[[#This Row],[Nom_Client]]</f>
        <v>Bipendu</v>
      </c>
      <c r="T43" t="str">
        <f>table_source_donnees[[#This Row],[Prenom_Client]]</f>
        <v>Annita</v>
      </c>
      <c r="U43" t="str">
        <f>table_source_donnees[[#This Row],[Genre_Client]]</f>
        <v>Féminin</v>
      </c>
      <c r="V43" t="str">
        <f>table_source_donnees[[#This Row],[Email_Client]]</f>
        <v>-</v>
      </c>
      <c r="W43">
        <f>table_source_donnees[[#This Row],[Telephone_Client]]</f>
        <v>987829384</v>
      </c>
      <c r="X43" t="str">
        <f>table_source_donnees[[#This Row],[Adresse_Client]]</f>
        <v>Tshangu, Kimbanseke, Mikondo</v>
      </c>
      <c r="Y43" t="str">
        <f>table_source_donnees[[#This Row],[Nom_Vendeur]]</f>
        <v>Mutuala</v>
      </c>
      <c r="Z43" t="str">
        <f>table_source_donnees[[#This Row],[Prenom_Vendeur]]</f>
        <v>Bernard</v>
      </c>
      <c r="AA43" t="str">
        <f>table_source_donnees[[#This Row],[Genre_Vendeur]]</f>
        <v>Masculin</v>
      </c>
      <c r="AB43" t="str">
        <f>table_source_donnees[[#This Row],[Email_Vendeur]]</f>
        <v>bernardmutuala@gmail.com</v>
      </c>
      <c r="AC43">
        <f>table_source_donnees[[#This Row],[Telephone_Vendeur]]</f>
        <v>812598453</v>
      </c>
      <c r="AD43" t="str">
        <f>table_source_donnees[[#This Row],[Poste_Vendeur]]</f>
        <v>Gestionnaire des ventes</v>
      </c>
      <c r="AE43">
        <f>table_source_donnees[[#This Row],[Image_Vendeur]]</f>
        <v>0</v>
      </c>
      <c r="AF43" t="str">
        <f>table_source_donnees[[#This Row],[Etat_Donnees]]</f>
        <v>Initial</v>
      </c>
    </row>
    <row r="44" spans="1:32" x14ac:dyDescent="0.25">
      <c r="A44">
        <f>table_source_donnees[[#This Row],[ID_Ligne_Commande]]</f>
        <v>35</v>
      </c>
      <c r="B44">
        <f>table_source_donnees[[#This Row],[ID_Commande]]</f>
        <v>12</v>
      </c>
      <c r="C44" t="str">
        <f>table_source_donnees[[#This Row],[ID_Produit]]</f>
        <v>Disc</v>
      </c>
      <c r="D44">
        <f>table_source_donnees[[#This Row],[Quantite_Commande]]</f>
        <v>4</v>
      </c>
      <c r="E44">
        <f>table_source_donnees[[#This Row],[Prix_Unitaire]]</f>
        <v>50000</v>
      </c>
      <c r="F44">
        <f>table_source_donnees[[#This Row],[Total_Ligne]]</f>
        <v>200000</v>
      </c>
      <c r="G44" t="str">
        <f>table_source_donnees[[#This Row],[Date_Commmande]]</f>
        <v>24/08/2025 23:44:12</v>
      </c>
      <c r="H44">
        <f>table_source_donnees[[#This Row],[ID_Client]]</f>
        <v>8</v>
      </c>
      <c r="I44" t="str">
        <f>table_source_donnees[[#This Row],[ID_Vendeur]]</f>
        <v>BerMut</v>
      </c>
      <c r="J44" t="str">
        <f>table_source_donnees[[#This Row],[Statut_Commande]]</f>
        <v>Confirmée</v>
      </c>
      <c r="K44" t="str">
        <f>table_source_donnees[[#This Row],[Libellé_Produit]]</f>
        <v>Disque Moteur</v>
      </c>
      <c r="L44" t="str">
        <f>table_source_donnees[[#This Row],[Description_Produit]]</f>
        <v>-</v>
      </c>
      <c r="M44">
        <f>table_source_donnees[[#This Row],[Prix_Unitaire_Produit]]</f>
        <v>50000</v>
      </c>
      <c r="N44">
        <f>table_source_donnees[[#This Row],[Quantité_Stockée]]</f>
        <v>9</v>
      </c>
      <c r="O44" t="str">
        <f>table_source_donnees[[#This Row],[ID_Categorie_Produit]]</f>
        <v>Mecan</v>
      </c>
      <c r="P44">
        <f>table_source_donnees[[#This Row],[Image_Produit]]</f>
        <v>0</v>
      </c>
      <c r="Q44" t="str">
        <f>table_source_donnees[[#This Row],[Nom_Categorie_Produit]]</f>
        <v>Mécanique</v>
      </c>
      <c r="R44" t="str">
        <f>table_source_donnees[[#This Row],[Description_Categorie]]</f>
        <v>-</v>
      </c>
      <c r="S44" t="str">
        <f>table_source_donnees[[#This Row],[Nom_Client]]</f>
        <v>Bipendu</v>
      </c>
      <c r="T44" t="str">
        <f>table_source_donnees[[#This Row],[Prenom_Client]]</f>
        <v>Annita</v>
      </c>
      <c r="U44" t="str">
        <f>table_source_donnees[[#This Row],[Genre_Client]]</f>
        <v>Féminin</v>
      </c>
      <c r="V44" t="str">
        <f>table_source_donnees[[#This Row],[Email_Client]]</f>
        <v>-</v>
      </c>
      <c r="W44">
        <f>table_source_donnees[[#This Row],[Telephone_Client]]</f>
        <v>987829384</v>
      </c>
      <c r="X44" t="str">
        <f>table_source_donnees[[#This Row],[Adresse_Client]]</f>
        <v>Tshangu, Kimbanseke, Mikondo</v>
      </c>
      <c r="Y44" t="str">
        <f>table_source_donnees[[#This Row],[Nom_Vendeur]]</f>
        <v>Mutuala</v>
      </c>
      <c r="Z44" t="str">
        <f>table_source_donnees[[#This Row],[Prenom_Vendeur]]</f>
        <v>Bernard</v>
      </c>
      <c r="AA44" t="str">
        <f>table_source_donnees[[#This Row],[Genre_Vendeur]]</f>
        <v>Masculin</v>
      </c>
      <c r="AB44" t="str">
        <f>table_source_donnees[[#This Row],[Email_Vendeur]]</f>
        <v>bernardmutuala@gmail.com</v>
      </c>
      <c r="AC44">
        <f>table_source_donnees[[#This Row],[Telephone_Vendeur]]</f>
        <v>812598453</v>
      </c>
      <c r="AD44" t="str">
        <f>table_source_donnees[[#This Row],[Poste_Vendeur]]</f>
        <v>Gestionnaire des ventes</v>
      </c>
      <c r="AE44">
        <f>table_source_donnees[[#This Row],[Image_Vendeur]]</f>
        <v>0</v>
      </c>
      <c r="AF44" t="str">
        <f>table_source_donnees[[#This Row],[Etat_Donnees]]</f>
        <v>Initial</v>
      </c>
    </row>
    <row r="45" spans="1:32" x14ac:dyDescent="0.25">
      <c r="A45">
        <f>table_source_donnees[[#This Row],[ID_Ligne_Commande]]</f>
        <v>36</v>
      </c>
      <c r="B45">
        <f>table_source_donnees[[#This Row],[ID_Commande]]</f>
        <v>13</v>
      </c>
      <c r="C45" t="str">
        <f>table_source_donnees[[#This Row],[ID_Produit]]</f>
        <v>Choco</v>
      </c>
      <c r="D45">
        <f>table_source_donnees[[#This Row],[Quantite_Commande]]</f>
        <v>20</v>
      </c>
      <c r="E45">
        <f>table_source_donnees[[#This Row],[Prix_Unitaire]]</f>
        <v>8000</v>
      </c>
      <c r="F45">
        <f>table_source_donnees[[#This Row],[Total_Ligne]]</f>
        <v>160000</v>
      </c>
      <c r="G45">
        <f>table_source_donnees[[#This Row],[Date_Commmande]]</f>
        <v>45901.477754629632</v>
      </c>
      <c r="H45">
        <f>table_source_donnees[[#This Row],[ID_Client]]</f>
        <v>9</v>
      </c>
      <c r="I45" t="str">
        <f>table_source_donnees[[#This Row],[ID_Vendeur]]</f>
        <v>BerMut</v>
      </c>
      <c r="J45" t="str">
        <f>table_source_donnees[[#This Row],[Statut_Commande]]</f>
        <v>Confirmée</v>
      </c>
      <c r="K45" t="str">
        <f>table_source_donnees[[#This Row],[Libellé_Produit]]</f>
        <v>Chocolat en boite</v>
      </c>
      <c r="L45" t="str">
        <f>table_source_donnees[[#This Row],[Description_Produit]]</f>
        <v>-</v>
      </c>
      <c r="M45">
        <f>table_source_donnees[[#This Row],[Prix_Unitaire_Produit]]</f>
        <v>8000</v>
      </c>
      <c r="N45">
        <f>table_source_donnees[[#This Row],[Quantité_Stockée]]</f>
        <v>18</v>
      </c>
      <c r="O45" t="str">
        <f>table_source_donnees[[#This Row],[ID_Categorie_Produit]]</f>
        <v>Cuisi</v>
      </c>
      <c r="P45">
        <f>table_source_donnees[[#This Row],[Image_Produit]]</f>
        <v>0</v>
      </c>
      <c r="Q45" t="str">
        <f>table_source_donnees[[#This Row],[Nom_Categorie_Produit]]</f>
        <v>Cuisine</v>
      </c>
      <c r="R45" t="str">
        <f>table_source_donnees[[#This Row],[Description_Categorie]]</f>
        <v>Optionnel</v>
      </c>
      <c r="S45" t="str">
        <f>table_source_donnees[[#This Row],[Nom_Client]]</f>
        <v>Tshipamba</v>
      </c>
      <c r="T45" t="str">
        <f>table_source_donnees[[#This Row],[Prenom_Client]]</f>
        <v>Donnat</v>
      </c>
      <c r="U45" t="str">
        <f>table_source_donnees[[#This Row],[Genre_Client]]</f>
        <v>Masculin</v>
      </c>
      <c r="V45" t="str">
        <f>table_source_donnees[[#This Row],[Email_Client]]</f>
        <v>-</v>
      </c>
      <c r="W45">
        <f>table_source_donnees[[#This Row],[Telephone_Client]]</f>
        <v>987654327</v>
      </c>
      <c r="X45" t="str">
        <f>table_source_donnees[[#This Row],[Adresse_Client]]</f>
        <v>Lukunga, Gombe, Commerce</v>
      </c>
      <c r="Y45" t="str">
        <f>table_source_donnees[[#This Row],[Nom_Vendeur]]</f>
        <v>Mutuala</v>
      </c>
      <c r="Z45" t="str">
        <f>table_source_donnees[[#This Row],[Prenom_Vendeur]]</f>
        <v>Bernard</v>
      </c>
      <c r="AA45" t="str">
        <f>table_source_donnees[[#This Row],[Genre_Vendeur]]</f>
        <v>Masculin</v>
      </c>
      <c r="AB45" t="str">
        <f>table_source_donnees[[#This Row],[Email_Vendeur]]</f>
        <v>bernardmutuala@gmail.com</v>
      </c>
      <c r="AC45">
        <f>table_source_donnees[[#This Row],[Telephone_Vendeur]]</f>
        <v>812598453</v>
      </c>
      <c r="AD45" t="str">
        <f>table_source_donnees[[#This Row],[Poste_Vendeur]]</f>
        <v>Gestionnaire des ventes</v>
      </c>
      <c r="AE45">
        <f>table_source_donnees[[#This Row],[Image_Vendeur]]</f>
        <v>0</v>
      </c>
      <c r="AF45" t="str">
        <f>table_source_donnees[[#This Row],[Etat_Donnees]]</f>
        <v>Initial</v>
      </c>
    </row>
    <row r="46" spans="1:32" x14ac:dyDescent="0.25">
      <c r="A46">
        <f>table_source_donnees[[#This Row],[ID_Ligne_Commande]]</f>
        <v>37</v>
      </c>
      <c r="B46">
        <f>table_source_donnees[[#This Row],[ID_Commande]]</f>
        <v>13</v>
      </c>
      <c r="C46" t="str">
        <f>table_source_donnees[[#This Row],[ID_Produit]]</f>
        <v>Toma1</v>
      </c>
      <c r="D46">
        <f>table_source_donnees[[#This Row],[Quantite_Commande]]</f>
        <v>2</v>
      </c>
      <c r="E46">
        <f>table_source_donnees[[#This Row],[Prix_Unitaire]]</f>
        <v>500</v>
      </c>
      <c r="F46">
        <f>table_source_donnees[[#This Row],[Total_Ligne]]</f>
        <v>1000</v>
      </c>
      <c r="G46">
        <f>table_source_donnees[[#This Row],[Date_Commmande]]</f>
        <v>45901.477754629632</v>
      </c>
      <c r="H46">
        <f>table_source_donnees[[#This Row],[ID_Client]]</f>
        <v>9</v>
      </c>
      <c r="I46" t="str">
        <f>table_source_donnees[[#This Row],[ID_Vendeur]]</f>
        <v>BerMut</v>
      </c>
      <c r="J46" t="str">
        <f>table_source_donnees[[#This Row],[Statut_Commande]]</f>
        <v>Confirmée</v>
      </c>
      <c r="K46" t="str">
        <f>table_source_donnees[[#This Row],[Libellé_Produit]]</f>
        <v>Tomate Appolo</v>
      </c>
      <c r="L46" t="str">
        <f>table_source_donnees[[#This Row],[Description_Produit]]</f>
        <v>-</v>
      </c>
      <c r="M46">
        <f>table_source_donnees[[#This Row],[Prix_Unitaire_Produit]]</f>
        <v>500</v>
      </c>
      <c r="N46">
        <f>table_source_donnees[[#This Row],[Quantité_Stockée]]</f>
        <v>289</v>
      </c>
      <c r="O46" t="str">
        <f>table_source_donnees[[#This Row],[ID_Categorie_Produit]]</f>
        <v>Cuisi</v>
      </c>
      <c r="P46">
        <f>table_source_donnees[[#This Row],[Image_Produit]]</f>
        <v>0</v>
      </c>
      <c r="Q46" t="str">
        <f>table_source_donnees[[#This Row],[Nom_Categorie_Produit]]</f>
        <v>Cuisine</v>
      </c>
      <c r="R46" t="str">
        <f>table_source_donnees[[#This Row],[Description_Categorie]]</f>
        <v>Optionnel</v>
      </c>
      <c r="S46" t="str">
        <f>table_source_donnees[[#This Row],[Nom_Client]]</f>
        <v>Tshipamba</v>
      </c>
      <c r="T46" t="str">
        <f>table_source_donnees[[#This Row],[Prenom_Client]]</f>
        <v>Donnat</v>
      </c>
      <c r="U46" t="str">
        <f>table_source_donnees[[#This Row],[Genre_Client]]</f>
        <v>Masculin</v>
      </c>
      <c r="V46" t="str">
        <f>table_source_donnees[[#This Row],[Email_Client]]</f>
        <v>-</v>
      </c>
      <c r="W46">
        <f>table_source_donnees[[#This Row],[Telephone_Client]]</f>
        <v>987654327</v>
      </c>
      <c r="X46" t="str">
        <f>table_source_donnees[[#This Row],[Adresse_Client]]</f>
        <v>Lukunga, Gombe, Commerce</v>
      </c>
      <c r="Y46" t="str">
        <f>table_source_donnees[[#This Row],[Nom_Vendeur]]</f>
        <v>Mutuala</v>
      </c>
      <c r="Z46" t="str">
        <f>table_source_donnees[[#This Row],[Prenom_Vendeur]]</f>
        <v>Bernard</v>
      </c>
      <c r="AA46" t="str">
        <f>table_source_donnees[[#This Row],[Genre_Vendeur]]</f>
        <v>Masculin</v>
      </c>
      <c r="AB46" t="str">
        <f>table_source_donnees[[#This Row],[Email_Vendeur]]</f>
        <v>bernardmutuala@gmail.com</v>
      </c>
      <c r="AC46">
        <f>table_source_donnees[[#This Row],[Telephone_Vendeur]]</f>
        <v>812598453</v>
      </c>
      <c r="AD46" t="str">
        <f>table_source_donnees[[#This Row],[Poste_Vendeur]]</f>
        <v>Gestionnaire des ventes</v>
      </c>
      <c r="AE46">
        <f>table_source_donnees[[#This Row],[Image_Vendeur]]</f>
        <v>0</v>
      </c>
      <c r="AF46" t="str">
        <f>table_source_donnees[[#This Row],[Etat_Donnees]]</f>
        <v>Initial</v>
      </c>
    </row>
    <row r="47" spans="1:32" x14ac:dyDescent="0.25">
      <c r="A47">
        <f>table_source_donnees[[#This Row],[ID_Ligne_Commande]]</f>
        <v>38</v>
      </c>
      <c r="B47">
        <f>table_source_donnees[[#This Row],[ID_Commande]]</f>
        <v>14</v>
      </c>
      <c r="C47" t="str">
        <f>table_source_donnees[[#This Row],[ID_Produit]]</f>
        <v>Masca</v>
      </c>
      <c r="D47">
        <f>table_source_donnees[[#This Row],[Quantite_Commande]]</f>
        <v>10</v>
      </c>
      <c r="E47">
        <f>table_source_donnees[[#This Row],[Prix_Unitaire]]</f>
        <v>2500</v>
      </c>
      <c r="F47">
        <f>table_source_donnees[[#This Row],[Total_Ligne]]</f>
        <v>25000</v>
      </c>
      <c r="G47">
        <f>table_source_donnees[[#This Row],[Date_Commmande]]</f>
        <v>45901.527430555558</v>
      </c>
      <c r="H47">
        <f>table_source_donnees[[#This Row],[ID_Client]]</f>
        <v>10</v>
      </c>
      <c r="I47" t="str">
        <f>table_source_donnees[[#This Row],[ID_Vendeur]]</f>
        <v>BerMut</v>
      </c>
      <c r="J47" t="str">
        <f>table_source_donnees[[#This Row],[Statut_Commande]]</f>
        <v>Confirmée</v>
      </c>
      <c r="K47" t="str">
        <f>table_source_donnees[[#This Row],[Libellé_Produit]]</f>
        <v>Mascara</v>
      </c>
      <c r="L47" t="str">
        <f>table_source_donnees[[#This Row],[Description_Produit]]</f>
        <v>Optionnel</v>
      </c>
      <c r="M47">
        <f>table_source_donnees[[#This Row],[Prix_Unitaire_Produit]]</f>
        <v>2500</v>
      </c>
      <c r="N47">
        <f>table_source_donnees[[#This Row],[Quantité_Stockée]]</f>
        <v>37</v>
      </c>
      <c r="O47" t="str">
        <f>table_source_donnees[[#This Row],[ID_Categorie_Produit]]</f>
        <v>Cosm</v>
      </c>
      <c r="P47">
        <f>table_source_donnees[[#This Row],[Image_Produit]]</f>
        <v>0</v>
      </c>
      <c r="Q47" t="str">
        <f>table_source_donnees[[#This Row],[Nom_Categorie_Produit]]</f>
        <v>Cosmétique</v>
      </c>
      <c r="R47" t="str">
        <f>table_source_donnees[[#This Row],[Description_Categorie]]</f>
        <v>Le meilleur des catégories</v>
      </c>
      <c r="S47" t="str">
        <f>table_source_donnees[[#This Row],[Nom_Client]]</f>
        <v>Mukala</v>
      </c>
      <c r="T47" t="str">
        <f>table_source_donnees[[#This Row],[Prenom_Client]]</f>
        <v>Albert</v>
      </c>
      <c r="U47" t="str">
        <f>table_source_donnees[[#This Row],[Genre_Client]]</f>
        <v>Masculin</v>
      </c>
      <c r="V47" t="str">
        <f>table_source_donnees[[#This Row],[Email_Client]]</f>
        <v>-</v>
      </c>
      <c r="W47">
        <f>table_source_donnees[[#This Row],[Telephone_Client]]</f>
        <v>908748824</v>
      </c>
      <c r="X47" t="str">
        <f>table_source_donnees[[#This Row],[Adresse_Client]]</f>
        <v>Funa, Kasa-Vubu, Assossa</v>
      </c>
      <c r="Y47" t="str">
        <f>table_source_donnees[[#This Row],[Nom_Vendeur]]</f>
        <v>Mutuala</v>
      </c>
      <c r="Z47" t="str">
        <f>table_source_donnees[[#This Row],[Prenom_Vendeur]]</f>
        <v>Bernard</v>
      </c>
      <c r="AA47" t="str">
        <f>table_source_donnees[[#This Row],[Genre_Vendeur]]</f>
        <v>Masculin</v>
      </c>
      <c r="AB47" t="str">
        <f>table_source_donnees[[#This Row],[Email_Vendeur]]</f>
        <v>bernardmutuala@gmail.com</v>
      </c>
      <c r="AC47">
        <f>table_source_donnees[[#This Row],[Telephone_Vendeur]]</f>
        <v>812598453</v>
      </c>
      <c r="AD47" t="str">
        <f>table_source_donnees[[#This Row],[Poste_Vendeur]]</f>
        <v>Gestionnaire des ventes</v>
      </c>
      <c r="AE47">
        <f>table_source_donnees[[#This Row],[Image_Vendeur]]</f>
        <v>0</v>
      </c>
      <c r="AF47" t="str">
        <f>table_source_donnees[[#This Row],[Etat_Donnees]]</f>
        <v>Initial</v>
      </c>
    </row>
    <row r="48" spans="1:32" x14ac:dyDescent="0.25">
      <c r="A48">
        <f>table_source_donnees[[#This Row],[ID_Ligne_Commande]]</f>
        <v>39</v>
      </c>
      <c r="B48">
        <f>table_source_donnees[[#This Row],[ID_Commande]]</f>
        <v>15</v>
      </c>
      <c r="C48" t="str">
        <f>table_source_donnees[[#This Row],[ID_Produit]]</f>
        <v>Cray</v>
      </c>
      <c r="D48">
        <f>table_source_donnees[[#This Row],[Quantite_Commande]]</f>
        <v>12</v>
      </c>
      <c r="E48">
        <f>table_source_donnees[[#This Row],[Prix_Unitaire]]</f>
        <v>1500</v>
      </c>
      <c r="F48">
        <f>table_source_donnees[[#This Row],[Total_Ligne]]</f>
        <v>18000</v>
      </c>
      <c r="G48">
        <f>table_source_donnees[[#This Row],[Date_Commmande]]</f>
        <v>45901.536087962966</v>
      </c>
      <c r="H48">
        <f>table_source_donnees[[#This Row],[ID_Client]]</f>
        <v>10</v>
      </c>
      <c r="I48" t="str">
        <f>table_source_donnees[[#This Row],[ID_Vendeur]]</f>
        <v>BerMut</v>
      </c>
      <c r="J48" t="str">
        <f>table_source_donnees[[#This Row],[Statut_Commande]]</f>
        <v>Confirmée</v>
      </c>
      <c r="K48" t="str">
        <f>table_source_donnees[[#This Row],[Libellé_Produit]]</f>
        <v>Crayon Cils</v>
      </c>
      <c r="L48" t="str">
        <f>table_source_donnees[[#This Row],[Description_Produit]]</f>
        <v>Optionnel</v>
      </c>
      <c r="M48">
        <f>table_source_donnees[[#This Row],[Prix_Unitaire_Produit]]</f>
        <v>1500</v>
      </c>
      <c r="N48">
        <f>table_source_donnees[[#This Row],[Quantité_Stockée]]</f>
        <v>148</v>
      </c>
      <c r="O48" t="str">
        <f>table_source_donnees[[#This Row],[ID_Categorie_Produit]]</f>
        <v>Cosm</v>
      </c>
      <c r="P48">
        <f>table_source_donnees[[#This Row],[Image_Produit]]</f>
        <v>0</v>
      </c>
      <c r="Q48" t="str">
        <f>table_source_donnees[[#This Row],[Nom_Categorie_Produit]]</f>
        <v>Cosmétique</v>
      </c>
      <c r="R48" t="str">
        <f>table_source_donnees[[#This Row],[Description_Categorie]]</f>
        <v>Le meilleur des catégories</v>
      </c>
      <c r="S48" t="str">
        <f>table_source_donnees[[#This Row],[Nom_Client]]</f>
        <v>Mukala</v>
      </c>
      <c r="T48" t="str">
        <f>table_source_donnees[[#This Row],[Prenom_Client]]</f>
        <v>Albert</v>
      </c>
      <c r="U48" t="str">
        <f>table_source_donnees[[#This Row],[Genre_Client]]</f>
        <v>Masculin</v>
      </c>
      <c r="V48" t="str">
        <f>table_source_donnees[[#This Row],[Email_Client]]</f>
        <v>-</v>
      </c>
      <c r="W48">
        <f>table_source_donnees[[#This Row],[Telephone_Client]]</f>
        <v>908748824</v>
      </c>
      <c r="X48" t="str">
        <f>table_source_donnees[[#This Row],[Adresse_Client]]</f>
        <v>Funa, Kasa-Vubu, Assossa</v>
      </c>
      <c r="Y48" t="str">
        <f>table_source_donnees[[#This Row],[Nom_Vendeur]]</f>
        <v>Mutuala</v>
      </c>
      <c r="Z48" t="str">
        <f>table_source_donnees[[#This Row],[Prenom_Vendeur]]</f>
        <v>Bernard</v>
      </c>
      <c r="AA48" t="str">
        <f>table_source_donnees[[#This Row],[Genre_Vendeur]]</f>
        <v>Masculin</v>
      </c>
      <c r="AB48" t="str">
        <f>table_source_donnees[[#This Row],[Email_Vendeur]]</f>
        <v>bernardmutuala@gmail.com</v>
      </c>
      <c r="AC48">
        <f>table_source_donnees[[#This Row],[Telephone_Vendeur]]</f>
        <v>812598453</v>
      </c>
      <c r="AD48" t="str">
        <f>table_source_donnees[[#This Row],[Poste_Vendeur]]</f>
        <v>Gestionnaire des ventes</v>
      </c>
      <c r="AE48">
        <f>table_source_donnees[[#This Row],[Image_Vendeur]]</f>
        <v>0</v>
      </c>
      <c r="AF48" t="str">
        <f>table_source_donnees[[#This Row],[Etat_Donnees]]</f>
        <v>Initial</v>
      </c>
    </row>
    <row r="49" spans="1:32" x14ac:dyDescent="0.25">
      <c r="A49">
        <f>table_source_donnees[[#This Row],[ID_Ligne_Commande]]</f>
        <v>40</v>
      </c>
      <c r="B49">
        <f>table_source_donnees[[#This Row],[ID_Commande]]</f>
        <v>16</v>
      </c>
      <c r="C49" t="str">
        <f>table_source_donnees[[#This Row],[ID_Produit]]</f>
        <v>Nko</v>
      </c>
      <c r="D49">
        <f>table_source_donnees[[#This Row],[Quantite_Commande]]</f>
        <v>3</v>
      </c>
      <c r="E49">
        <f>table_source_donnees[[#This Row],[Prix_Unitaire]]</f>
        <v>4500</v>
      </c>
      <c r="F49">
        <f>table_source_donnees[[#This Row],[Total_Ligne]]</f>
        <v>13500</v>
      </c>
      <c r="G49">
        <f>table_source_donnees[[#This Row],[Date_Commmande]]</f>
        <v>45901.54828703704</v>
      </c>
      <c r="H49">
        <f>table_source_donnees[[#This Row],[ID_Client]]</f>
        <v>11</v>
      </c>
      <c r="I49" t="str">
        <f>table_source_donnees[[#This Row],[ID_Vendeur]]</f>
        <v>BerMut</v>
      </c>
      <c r="J49" t="str">
        <f>table_source_donnees[[#This Row],[Statut_Commande]]</f>
        <v>Confirmée</v>
      </c>
      <c r="K49" t="str">
        <f>table_source_donnees[[#This Row],[Libellé_Produit]]</f>
        <v>Nkoyi</v>
      </c>
      <c r="L49" t="str">
        <f>table_source_donnees[[#This Row],[Description_Produit]]</f>
        <v>-</v>
      </c>
      <c r="M49">
        <f>table_source_donnees[[#This Row],[Prix_Unitaire_Produit]]</f>
        <v>4500</v>
      </c>
      <c r="N49">
        <f>table_source_donnees[[#This Row],[Quantité_Stockée]]</f>
        <v>117</v>
      </c>
      <c r="O49" t="str">
        <f>table_source_donnees[[#This Row],[ID_Categorie_Produit]]</f>
        <v>Bois</v>
      </c>
      <c r="P49">
        <f>table_source_donnees[[#This Row],[Image_Produit]]</f>
        <v>0</v>
      </c>
      <c r="Q49" t="str">
        <f>table_source_donnees[[#This Row],[Nom_Categorie_Produit]]</f>
        <v>Boisson</v>
      </c>
      <c r="R49" t="str">
        <f>table_source_donnees[[#This Row],[Description_Categorie]]</f>
        <v>-</v>
      </c>
      <c r="S49" t="str">
        <f>table_source_donnees[[#This Row],[Nom_Client]]</f>
        <v>Mukendi</v>
      </c>
      <c r="T49" t="str">
        <f>table_source_donnees[[#This Row],[Prenom_Client]]</f>
        <v>Héritier</v>
      </c>
      <c r="U49" t="str">
        <f>table_source_donnees[[#This Row],[Genre_Client]]</f>
        <v>Masculin</v>
      </c>
      <c r="V49" t="str">
        <f>table_source_donnees[[#This Row],[Email_Client]]</f>
        <v>-</v>
      </c>
      <c r="W49">
        <f>table_source_donnees[[#This Row],[Telephone_Client]]</f>
        <v>983985784</v>
      </c>
      <c r="X49" t="str">
        <f>table_source_donnees[[#This Row],[Adresse_Client]]</f>
        <v>Funa, Ngiri-Ngiri, Luyeye</v>
      </c>
      <c r="Y49" t="str">
        <f>table_source_donnees[[#This Row],[Nom_Vendeur]]</f>
        <v>Mutuala</v>
      </c>
      <c r="Z49" t="str">
        <f>table_source_donnees[[#This Row],[Prenom_Vendeur]]</f>
        <v>Bernard</v>
      </c>
      <c r="AA49" t="str">
        <f>table_source_donnees[[#This Row],[Genre_Vendeur]]</f>
        <v>Masculin</v>
      </c>
      <c r="AB49" t="str">
        <f>table_source_donnees[[#This Row],[Email_Vendeur]]</f>
        <v>bernardmutuala@gmail.com</v>
      </c>
      <c r="AC49">
        <f>table_source_donnees[[#This Row],[Telephone_Vendeur]]</f>
        <v>812598453</v>
      </c>
      <c r="AD49" t="str">
        <f>table_source_donnees[[#This Row],[Poste_Vendeur]]</f>
        <v>Gestionnaire des ventes</v>
      </c>
      <c r="AE49">
        <f>table_source_donnees[[#This Row],[Image_Vendeur]]</f>
        <v>0</v>
      </c>
      <c r="AF49" t="str">
        <f>table_source_donnees[[#This Row],[Etat_Donnees]]</f>
        <v>Initial</v>
      </c>
    </row>
    <row r="50" spans="1:32" x14ac:dyDescent="0.25">
      <c r="A50">
        <f>table_source_donnees[[#This Row],[ID_Ligne_Commande]]</f>
        <v>41</v>
      </c>
      <c r="B50">
        <f>table_source_donnees[[#This Row],[ID_Commande]]</f>
        <v>17</v>
      </c>
      <c r="C50" t="str">
        <f>table_source_donnees[[#This Row],[ID_Produit]]</f>
        <v>Masca</v>
      </c>
      <c r="D50">
        <f>table_source_donnees[[#This Row],[Quantite_Commande]]</f>
        <v>11</v>
      </c>
      <c r="E50">
        <f>table_source_donnees[[#This Row],[Prix_Unitaire]]</f>
        <v>2500</v>
      </c>
      <c r="F50">
        <f>table_source_donnees[[#This Row],[Total_Ligne]]</f>
        <v>27500</v>
      </c>
      <c r="G50">
        <f>table_source_donnees[[#This Row],[Date_Commmande]]</f>
        <v>45901.565451388888</v>
      </c>
      <c r="H50">
        <f>table_source_donnees[[#This Row],[ID_Client]]</f>
        <v>12</v>
      </c>
      <c r="I50" t="str">
        <f>table_source_donnees[[#This Row],[ID_Vendeur]]</f>
        <v>BerMut</v>
      </c>
      <c r="J50" t="str">
        <f>table_source_donnees[[#This Row],[Statut_Commande]]</f>
        <v>Confirmée</v>
      </c>
      <c r="K50" t="str">
        <f>table_source_donnees[[#This Row],[Libellé_Produit]]</f>
        <v>Mascara</v>
      </c>
      <c r="L50" t="str">
        <f>table_source_donnees[[#This Row],[Description_Produit]]</f>
        <v>Optionnel</v>
      </c>
      <c r="M50">
        <f>table_source_donnees[[#This Row],[Prix_Unitaire_Produit]]</f>
        <v>2500</v>
      </c>
      <c r="N50">
        <f>table_source_donnees[[#This Row],[Quantité_Stockée]]</f>
        <v>26</v>
      </c>
      <c r="O50" t="str">
        <f>table_source_donnees[[#This Row],[ID_Categorie_Produit]]</f>
        <v>Cosm</v>
      </c>
      <c r="P50">
        <f>table_source_donnees[[#This Row],[Image_Produit]]</f>
        <v>0</v>
      </c>
      <c r="Q50" t="str">
        <f>table_source_donnees[[#This Row],[Nom_Categorie_Produit]]</f>
        <v>Cosmétique</v>
      </c>
      <c r="R50" t="str">
        <f>table_source_donnees[[#This Row],[Description_Categorie]]</f>
        <v>Le meilleur des catégories</v>
      </c>
      <c r="S50" t="str">
        <f>table_source_donnees[[#This Row],[Nom_Client]]</f>
        <v>Kanku</v>
      </c>
      <c r="T50" t="str">
        <f>table_source_donnees[[#This Row],[Prenom_Client]]</f>
        <v>Annita</v>
      </c>
      <c r="U50" t="str">
        <f>table_source_donnees[[#This Row],[Genre_Client]]</f>
        <v>Féminin</v>
      </c>
      <c r="V50" t="str">
        <f>table_source_donnees[[#This Row],[Email_Client]]</f>
        <v>-</v>
      </c>
      <c r="W50">
        <f>table_source_donnees[[#This Row],[Telephone_Client]]</f>
        <v>8797645786</v>
      </c>
      <c r="X50" t="str">
        <f>table_source_donnees[[#This Row],[Adresse_Client]]</f>
        <v>Mont-Amba, Limete, Kingabwa</v>
      </c>
      <c r="Y50" t="str">
        <f>table_source_donnees[[#This Row],[Nom_Vendeur]]</f>
        <v>Mutuala</v>
      </c>
      <c r="Z50" t="str">
        <f>table_source_donnees[[#This Row],[Prenom_Vendeur]]</f>
        <v>Bernard</v>
      </c>
      <c r="AA50" t="str">
        <f>table_source_donnees[[#This Row],[Genre_Vendeur]]</f>
        <v>Masculin</v>
      </c>
      <c r="AB50" t="str">
        <f>table_source_donnees[[#This Row],[Email_Vendeur]]</f>
        <v>bernardmutuala@gmail.com</v>
      </c>
      <c r="AC50">
        <f>table_source_donnees[[#This Row],[Telephone_Vendeur]]</f>
        <v>812598453</v>
      </c>
      <c r="AD50" t="str">
        <f>table_source_donnees[[#This Row],[Poste_Vendeur]]</f>
        <v>Gestionnaire des ventes</v>
      </c>
      <c r="AE50">
        <f>table_source_donnees[[#This Row],[Image_Vendeur]]</f>
        <v>0</v>
      </c>
      <c r="AF50" t="str">
        <f>table_source_donnees[[#This Row],[Etat_Donnees]]</f>
        <v>Initial</v>
      </c>
    </row>
    <row r="51" spans="1:32" x14ac:dyDescent="0.25">
      <c r="A51">
        <f>table_source_donnees[[#This Row],[ID_Ligne_Commande]]</f>
        <v>42</v>
      </c>
      <c r="B51">
        <f>table_source_donnees[[#This Row],[ID_Commande]]</f>
        <v>18</v>
      </c>
      <c r="C51" t="str">
        <f>table_source_donnees[[#This Row],[ID_Produit]]</f>
        <v>Vidag</v>
      </c>
      <c r="D51">
        <f>table_source_donnees[[#This Row],[Quantite_Commande]]</f>
        <v>10</v>
      </c>
      <c r="E51">
        <f>table_source_donnees[[#This Row],[Prix_Unitaire]]</f>
        <v>5000</v>
      </c>
      <c r="F51">
        <f>table_source_donnees[[#This Row],[Total_Ligne]]</f>
        <v>50000</v>
      </c>
      <c r="G51">
        <f>table_source_donnees[[#This Row],[Date_Commmande]]</f>
        <v>45901.589745370373</v>
      </c>
      <c r="H51">
        <f>table_source_donnees[[#This Row],[ID_Client]]</f>
        <v>13</v>
      </c>
      <c r="I51" t="str">
        <f>table_source_donnees[[#This Row],[ID_Vendeur]]</f>
        <v>BerMut</v>
      </c>
      <c r="J51" t="str">
        <f>table_source_donnees[[#This Row],[Statut_Commande]]</f>
        <v>Confirmée</v>
      </c>
      <c r="K51" t="str">
        <f>table_source_donnees[[#This Row],[Libellé_Produit]]</f>
        <v>Vidage 1 litre</v>
      </c>
      <c r="L51" t="str">
        <f>table_source_donnees[[#This Row],[Description_Produit]]</f>
        <v>-</v>
      </c>
      <c r="M51">
        <f>table_source_donnees[[#This Row],[Prix_Unitaire_Produit]]</f>
        <v>5000</v>
      </c>
      <c r="N51">
        <f>table_source_donnees[[#This Row],[Quantité_Stockée]]</f>
        <v>86</v>
      </c>
      <c r="O51" t="str">
        <f>table_source_donnees[[#This Row],[ID_Categorie_Produit]]</f>
        <v>Mecan</v>
      </c>
      <c r="P51">
        <f>table_source_donnees[[#This Row],[Image_Produit]]</f>
        <v>0</v>
      </c>
      <c r="Q51" t="str">
        <f>table_source_donnees[[#This Row],[Nom_Categorie_Produit]]</f>
        <v>Mécanique</v>
      </c>
      <c r="R51" t="str">
        <f>table_source_donnees[[#This Row],[Description_Categorie]]</f>
        <v>-</v>
      </c>
      <c r="S51" t="str">
        <f>table_source_donnees[[#This Row],[Nom_Client]]</f>
        <v>Mbuyi</v>
      </c>
      <c r="T51" t="str">
        <f>table_source_donnees[[#This Row],[Prenom_Client]]</f>
        <v>Jeanette</v>
      </c>
      <c r="U51" t="str">
        <f>table_source_donnees[[#This Row],[Genre_Client]]</f>
        <v>Féminin</v>
      </c>
      <c r="V51" t="str">
        <f>table_source_donnees[[#This Row],[Email_Client]]</f>
        <v>-</v>
      </c>
      <c r="W51">
        <f>table_source_donnees[[#This Row],[Telephone_Client]]</f>
        <v>987654367</v>
      </c>
      <c r="X51" t="str">
        <f>table_source_donnees[[#This Row],[Adresse_Client]]</f>
        <v>Mont-Amba, Matete, Mandina</v>
      </c>
      <c r="Y51" t="str">
        <f>table_source_donnees[[#This Row],[Nom_Vendeur]]</f>
        <v>Mutuala</v>
      </c>
      <c r="Z51" t="str">
        <f>table_source_donnees[[#This Row],[Prenom_Vendeur]]</f>
        <v>Bernard</v>
      </c>
      <c r="AA51" t="str">
        <f>table_source_donnees[[#This Row],[Genre_Vendeur]]</f>
        <v>Masculin</v>
      </c>
      <c r="AB51" t="str">
        <f>table_source_donnees[[#This Row],[Email_Vendeur]]</f>
        <v>bernardmutuala@gmail.com</v>
      </c>
      <c r="AC51">
        <f>table_source_donnees[[#This Row],[Telephone_Vendeur]]</f>
        <v>812598453</v>
      </c>
      <c r="AD51" t="str">
        <f>table_source_donnees[[#This Row],[Poste_Vendeur]]</f>
        <v>Gestionnaire des ventes</v>
      </c>
      <c r="AE51">
        <f>table_source_donnees[[#This Row],[Image_Vendeur]]</f>
        <v>0</v>
      </c>
      <c r="AF51" t="str">
        <f>table_source_donnees[[#This Row],[Etat_Donnees]]</f>
        <v>Initial</v>
      </c>
    </row>
    <row r="52" spans="1:32" x14ac:dyDescent="0.25">
      <c r="A52">
        <f>table_source_donnees[[#This Row],[ID_Ligne_Commande]]</f>
        <v>43</v>
      </c>
      <c r="B52">
        <f>table_source_donnees[[#This Row],[ID_Commande]]</f>
        <v>18</v>
      </c>
      <c r="C52" t="str">
        <f>table_source_donnees[[#This Row],[ID_Produit]]</f>
        <v>Roug</v>
      </c>
      <c r="D52">
        <f>table_source_donnees[[#This Row],[Quantite_Commande]]</f>
        <v>12</v>
      </c>
      <c r="E52">
        <f>table_source_donnees[[#This Row],[Prix_Unitaire]]</f>
        <v>1000</v>
      </c>
      <c r="F52">
        <f>table_source_donnees[[#This Row],[Total_Ligne]]</f>
        <v>12000</v>
      </c>
      <c r="G52">
        <f>table_source_donnees[[#This Row],[Date_Commmande]]</f>
        <v>45901.589745370373</v>
      </c>
      <c r="H52">
        <f>table_source_donnees[[#This Row],[ID_Client]]</f>
        <v>13</v>
      </c>
      <c r="I52" t="str">
        <f>table_source_donnees[[#This Row],[ID_Vendeur]]</f>
        <v>BerMut</v>
      </c>
      <c r="J52" t="str">
        <f>table_source_donnees[[#This Row],[Statut_Commande]]</f>
        <v>Confirmée</v>
      </c>
      <c r="K52" t="str">
        <f>table_source_donnees[[#This Row],[Libellé_Produit]]</f>
        <v>Rouge à lèvres</v>
      </c>
      <c r="L52" t="str">
        <f>table_source_donnees[[#This Row],[Description_Produit]]</f>
        <v>Meilleur pour les levres</v>
      </c>
      <c r="M52">
        <f>table_source_donnees[[#This Row],[Prix_Unitaire_Produit]]</f>
        <v>1000</v>
      </c>
      <c r="N52">
        <f>table_source_donnees[[#This Row],[Quantité_Stockée]]</f>
        <v>125</v>
      </c>
      <c r="O52" t="str">
        <f>table_source_donnees[[#This Row],[ID_Categorie_Produit]]</f>
        <v>Cosm</v>
      </c>
      <c r="P52">
        <f>table_source_donnees[[#This Row],[Image_Produit]]</f>
        <v>0</v>
      </c>
      <c r="Q52" t="str">
        <f>table_source_donnees[[#This Row],[Nom_Categorie_Produit]]</f>
        <v>Cosmétique</v>
      </c>
      <c r="R52" t="str">
        <f>table_source_donnees[[#This Row],[Description_Categorie]]</f>
        <v>Le meilleur des catégories</v>
      </c>
      <c r="S52" t="str">
        <f>table_source_donnees[[#This Row],[Nom_Client]]</f>
        <v>Mbuyi</v>
      </c>
      <c r="T52" t="str">
        <f>table_source_donnees[[#This Row],[Prenom_Client]]</f>
        <v>Jeanette</v>
      </c>
      <c r="U52" t="str">
        <f>table_source_donnees[[#This Row],[Genre_Client]]</f>
        <v>Féminin</v>
      </c>
      <c r="V52" t="str">
        <f>table_source_donnees[[#This Row],[Email_Client]]</f>
        <v>-</v>
      </c>
      <c r="W52">
        <f>table_source_donnees[[#This Row],[Telephone_Client]]</f>
        <v>987654367</v>
      </c>
      <c r="X52" t="str">
        <f>table_source_donnees[[#This Row],[Adresse_Client]]</f>
        <v>Mont-Amba, Matete, Mandina</v>
      </c>
      <c r="Y52" t="str">
        <f>table_source_donnees[[#This Row],[Nom_Vendeur]]</f>
        <v>Mutuala</v>
      </c>
      <c r="Z52" t="str">
        <f>table_source_donnees[[#This Row],[Prenom_Vendeur]]</f>
        <v>Bernard</v>
      </c>
      <c r="AA52" t="str">
        <f>table_source_donnees[[#This Row],[Genre_Vendeur]]</f>
        <v>Masculin</v>
      </c>
      <c r="AB52" t="str">
        <f>table_source_donnees[[#This Row],[Email_Vendeur]]</f>
        <v>bernardmutuala@gmail.com</v>
      </c>
      <c r="AC52">
        <f>table_source_donnees[[#This Row],[Telephone_Vendeur]]</f>
        <v>812598453</v>
      </c>
      <c r="AD52" t="str">
        <f>table_source_donnees[[#This Row],[Poste_Vendeur]]</f>
        <v>Gestionnaire des ventes</v>
      </c>
      <c r="AE52">
        <f>table_source_donnees[[#This Row],[Image_Vendeur]]</f>
        <v>0</v>
      </c>
      <c r="AF52" t="str">
        <f>table_source_donnees[[#This Row],[Etat_Donnees]]</f>
        <v>Initial</v>
      </c>
    </row>
    <row r="53" spans="1:32" x14ac:dyDescent="0.25">
      <c r="A53">
        <f>table_source_donnees[[#This Row],[ID_Ligne_Commande]]</f>
        <v>44</v>
      </c>
      <c r="B53">
        <f>table_source_donnees[[#This Row],[ID_Commande]]</f>
        <v>19</v>
      </c>
      <c r="C53" t="str">
        <f>table_source_donnees[[#This Row],[ID_Produit]]</f>
        <v>ItalBouc</v>
      </c>
      <c r="D53">
        <f>table_source_donnees[[#This Row],[Quantite_Commande]]</f>
        <v>2</v>
      </c>
      <c r="E53">
        <f>table_source_donnees[[#This Row],[Prix_Unitaire]]</f>
        <v>200000</v>
      </c>
      <c r="F53">
        <f>table_source_donnees[[#This Row],[Total_Ligne]]</f>
        <v>400000</v>
      </c>
      <c r="G53">
        <f>table_source_donnees[[#This Row],[Date_Commmande]]</f>
        <v>45901.594976851855</v>
      </c>
      <c r="H53">
        <f>table_source_donnees[[#This Row],[ID_Client]]</f>
        <v>15</v>
      </c>
      <c r="I53" t="str">
        <f>table_source_donnees[[#This Row],[ID_Vendeur]]</f>
        <v>BerMut</v>
      </c>
      <c r="J53" t="str">
        <f>table_source_donnees[[#This Row],[Statut_Commande]]</f>
        <v>Confirmée</v>
      </c>
      <c r="K53" t="str">
        <f>table_source_donnees[[#This Row],[Libellé_Produit]]</f>
        <v>Italy Cuir Boucle</v>
      </c>
      <c r="L53" t="str">
        <f>table_source_donnees[[#This Row],[Description_Produit]]</f>
        <v>-</v>
      </c>
      <c r="M53">
        <f>table_source_donnees[[#This Row],[Prix_Unitaire_Produit]]</f>
        <v>200000</v>
      </c>
      <c r="N53">
        <f>table_source_donnees[[#This Row],[Quantité_Stockée]]</f>
        <v>11</v>
      </c>
      <c r="O53" t="str">
        <f>table_source_donnees[[#This Row],[ID_Categorie_Produit]]</f>
        <v>Habill</v>
      </c>
      <c r="P53">
        <f>table_source_donnees[[#This Row],[Image_Produit]]</f>
        <v>0</v>
      </c>
      <c r="Q53" t="str">
        <f>table_source_donnees[[#This Row],[Nom_Categorie_Produit]]</f>
        <v>Habillement</v>
      </c>
      <c r="R53" t="str">
        <f>table_source_donnees[[#This Row],[Description_Categorie]]</f>
        <v>-</v>
      </c>
      <c r="S53" t="str">
        <f>table_source_donnees[[#This Row],[Nom_Client]]</f>
        <v>Mupanga</v>
      </c>
      <c r="T53" t="str">
        <f>table_source_donnees[[#This Row],[Prenom_Client]]</f>
        <v>Patrick</v>
      </c>
      <c r="U53" t="str">
        <f>table_source_donnees[[#This Row],[Genre_Client]]</f>
        <v>Masculin</v>
      </c>
      <c r="V53" t="str">
        <f>table_source_donnees[[#This Row],[Email_Client]]</f>
        <v>-</v>
      </c>
      <c r="W53">
        <f>table_source_donnees[[#This Row],[Telephone_Client]]</f>
        <v>98762843</v>
      </c>
      <c r="X53" t="str">
        <f>table_source_donnees[[#This Row],[Adresse_Client]]</f>
        <v>Lukunga, Barumbu, Ndolo</v>
      </c>
      <c r="Y53" t="str">
        <f>table_source_donnees[[#This Row],[Nom_Vendeur]]</f>
        <v>Mutuala</v>
      </c>
      <c r="Z53" t="str">
        <f>table_source_donnees[[#This Row],[Prenom_Vendeur]]</f>
        <v>Bernard</v>
      </c>
      <c r="AA53" t="str">
        <f>table_source_donnees[[#This Row],[Genre_Vendeur]]</f>
        <v>Masculin</v>
      </c>
      <c r="AB53" t="str">
        <f>table_source_donnees[[#This Row],[Email_Vendeur]]</f>
        <v>bernardmutuala@gmail.com</v>
      </c>
      <c r="AC53">
        <f>table_source_donnees[[#This Row],[Telephone_Vendeur]]</f>
        <v>812598453</v>
      </c>
      <c r="AD53" t="str">
        <f>table_source_donnees[[#This Row],[Poste_Vendeur]]</f>
        <v>Gestionnaire des ventes</v>
      </c>
      <c r="AE53">
        <f>table_source_donnees[[#This Row],[Image_Vendeur]]</f>
        <v>0</v>
      </c>
      <c r="AF53" t="str">
        <f>table_source_donnees[[#This Row],[Etat_Donnees]]</f>
        <v>Initial</v>
      </c>
    </row>
    <row r="54" spans="1:32" x14ac:dyDescent="0.25">
      <c r="A54">
        <f>table_source_donnees[[#This Row],[ID_Ligne_Commande]]</f>
        <v>45</v>
      </c>
      <c r="B54">
        <f>table_source_donnees[[#This Row],[ID_Commande]]</f>
        <v>20</v>
      </c>
      <c r="C54" t="str">
        <f>table_source_donnees[[#This Row],[ID_Produit]]</f>
        <v>Masca</v>
      </c>
      <c r="D54">
        <f>table_source_donnees[[#This Row],[Quantite_Commande]]</f>
        <v>10</v>
      </c>
      <c r="E54">
        <f>table_source_donnees[[#This Row],[Prix_Unitaire]]</f>
        <v>2500</v>
      </c>
      <c r="F54">
        <f>table_source_donnees[[#This Row],[Total_Ligne]]</f>
        <v>25000</v>
      </c>
      <c r="G54">
        <f>table_source_donnees[[#This Row],[Date_Commmande]]</f>
        <v>45901.612210648149</v>
      </c>
      <c r="H54">
        <f>table_source_donnees[[#This Row],[ID_Client]]</f>
        <v>17</v>
      </c>
      <c r="I54" t="str">
        <f>table_source_donnees[[#This Row],[ID_Vendeur]]</f>
        <v>BerMut</v>
      </c>
      <c r="J54" t="str">
        <f>table_source_donnees[[#This Row],[Statut_Commande]]</f>
        <v>Confirmée</v>
      </c>
      <c r="K54" t="str">
        <f>table_source_donnees[[#This Row],[Libellé_Produit]]</f>
        <v>Mascara</v>
      </c>
      <c r="L54" t="str">
        <f>table_source_donnees[[#This Row],[Description_Produit]]</f>
        <v>Optionnel</v>
      </c>
      <c r="M54">
        <f>table_source_donnees[[#This Row],[Prix_Unitaire_Produit]]</f>
        <v>2500</v>
      </c>
      <c r="N54">
        <f>table_source_donnees[[#This Row],[Quantité_Stockée]]</f>
        <v>16</v>
      </c>
      <c r="O54" t="str">
        <f>table_source_donnees[[#This Row],[ID_Categorie_Produit]]</f>
        <v>Cosm</v>
      </c>
      <c r="P54">
        <f>table_source_donnees[[#This Row],[Image_Produit]]</f>
        <v>0</v>
      </c>
      <c r="Q54" t="str">
        <f>table_source_donnees[[#This Row],[Nom_Categorie_Produit]]</f>
        <v>Cosmétique</v>
      </c>
      <c r="R54" t="str">
        <f>table_source_donnees[[#This Row],[Description_Categorie]]</f>
        <v>Le meilleur des catégories</v>
      </c>
      <c r="S54" t="str">
        <f>table_source_donnees[[#This Row],[Nom_Client]]</f>
        <v>Tshituka</v>
      </c>
      <c r="T54" t="str">
        <f>table_source_donnees[[#This Row],[Prenom_Client]]</f>
        <v>Martine</v>
      </c>
      <c r="U54" t="str">
        <f>table_source_donnees[[#This Row],[Genre_Client]]</f>
        <v>Féminin</v>
      </c>
      <c r="V54" t="str">
        <f>table_source_donnees[[#This Row],[Email_Client]]</f>
        <v>-</v>
      </c>
      <c r="W54">
        <f>table_source_donnees[[#This Row],[Telephone_Client]]</f>
        <v>98387823</v>
      </c>
      <c r="X54" t="str">
        <f>table_source_donnees[[#This Row],[Adresse_Client]]</f>
        <v>Lukunga, Kinshasa, Saint-Paul</v>
      </c>
      <c r="Y54" t="str">
        <f>table_source_donnees[[#This Row],[Nom_Vendeur]]</f>
        <v>Mutuala</v>
      </c>
      <c r="Z54" t="str">
        <f>table_source_donnees[[#This Row],[Prenom_Vendeur]]</f>
        <v>Bernard</v>
      </c>
      <c r="AA54" t="str">
        <f>table_source_donnees[[#This Row],[Genre_Vendeur]]</f>
        <v>Masculin</v>
      </c>
      <c r="AB54" t="str">
        <f>table_source_donnees[[#This Row],[Email_Vendeur]]</f>
        <v>bernardmutuala@gmail.com</v>
      </c>
      <c r="AC54">
        <f>table_source_donnees[[#This Row],[Telephone_Vendeur]]</f>
        <v>812598453</v>
      </c>
      <c r="AD54" t="str">
        <f>table_source_donnees[[#This Row],[Poste_Vendeur]]</f>
        <v>Gestionnaire des ventes</v>
      </c>
      <c r="AE54">
        <f>table_source_donnees[[#This Row],[Image_Vendeur]]</f>
        <v>0</v>
      </c>
      <c r="AF54" t="str">
        <f>table_source_donnees[[#This Row],[Etat_Donnees]]</f>
        <v>Initial</v>
      </c>
    </row>
    <row r="55" spans="1:32" x14ac:dyDescent="0.25">
      <c r="A55">
        <f>table_source_donnees[[#This Row],[ID_Ligne_Commande]]</f>
        <v>46</v>
      </c>
      <c r="B55">
        <f>table_source_donnees[[#This Row],[ID_Commande]]</f>
        <v>21</v>
      </c>
      <c r="C55" t="str">
        <f>table_source_donnees[[#This Row],[ID_Produit]]</f>
        <v>Mayo</v>
      </c>
      <c r="D55">
        <f>table_source_donnees[[#This Row],[Quantite_Commande]]</f>
        <v>40</v>
      </c>
      <c r="E55">
        <f>table_source_donnees[[#This Row],[Prix_Unitaire]]</f>
        <v>7000</v>
      </c>
      <c r="F55">
        <f>table_source_donnees[[#This Row],[Total_Ligne]]</f>
        <v>280000</v>
      </c>
      <c r="G55">
        <f>table_source_donnees[[#This Row],[Date_Commmande]]</f>
        <v>45902.29179398148</v>
      </c>
      <c r="H55">
        <f>table_source_donnees[[#This Row],[ID_Client]]</f>
        <v>18</v>
      </c>
      <c r="I55" t="str">
        <f>table_source_donnees[[#This Row],[ID_Vendeur]]</f>
        <v>BerMut</v>
      </c>
      <c r="J55" t="str">
        <f>table_source_donnees[[#This Row],[Statut_Commande]]</f>
        <v>Confirmée</v>
      </c>
      <c r="K55" t="str">
        <f>table_source_donnees[[#This Row],[Libellé_Produit]]</f>
        <v>Mayonnaise Grand Format</v>
      </c>
      <c r="L55" t="str">
        <f>table_source_donnees[[#This Row],[Description_Produit]]</f>
        <v>-</v>
      </c>
      <c r="M55">
        <f>table_source_donnees[[#This Row],[Prix_Unitaire_Produit]]</f>
        <v>7000</v>
      </c>
      <c r="N55">
        <f>table_source_donnees[[#This Row],[Quantité_Stockée]]</f>
        <v>56</v>
      </c>
      <c r="O55" t="str">
        <f>table_source_donnees[[#This Row],[ID_Categorie_Produit]]</f>
        <v>Cuisi</v>
      </c>
      <c r="P55">
        <f>table_source_donnees[[#This Row],[Image_Produit]]</f>
        <v>0</v>
      </c>
      <c r="Q55" t="str">
        <f>table_source_donnees[[#This Row],[Nom_Categorie_Produit]]</f>
        <v>Cuisine</v>
      </c>
      <c r="R55" t="str">
        <f>table_source_donnees[[#This Row],[Description_Categorie]]</f>
        <v>Optionnel</v>
      </c>
      <c r="S55" t="str">
        <f>table_source_donnees[[#This Row],[Nom_Client]]</f>
        <v>Mbata</v>
      </c>
      <c r="T55" t="str">
        <f>table_source_donnees[[#This Row],[Prenom_Client]]</f>
        <v>David</v>
      </c>
      <c r="U55" t="str">
        <f>table_source_donnees[[#This Row],[Genre_Client]]</f>
        <v>Masculin</v>
      </c>
      <c r="V55" t="str">
        <f>table_source_donnees[[#This Row],[Email_Client]]</f>
        <v>mbatadavid@gmail.com</v>
      </c>
      <c r="W55">
        <f>table_source_donnees[[#This Row],[Telephone_Client]]</f>
        <v>817263849</v>
      </c>
      <c r="X55" t="str">
        <f>table_source_donnees[[#This Row],[Adresse_Client]]</f>
        <v>Mont-Amba, Ngaba, Université</v>
      </c>
      <c r="Y55" t="str">
        <f>table_source_donnees[[#This Row],[Nom_Vendeur]]</f>
        <v>Mutuala</v>
      </c>
      <c r="Z55" t="str">
        <f>table_source_donnees[[#This Row],[Prenom_Vendeur]]</f>
        <v>Bernard</v>
      </c>
      <c r="AA55" t="str">
        <f>table_source_donnees[[#This Row],[Genre_Vendeur]]</f>
        <v>Masculin</v>
      </c>
      <c r="AB55" t="str">
        <f>table_source_donnees[[#This Row],[Email_Vendeur]]</f>
        <v>bernardmutuala@gmail.com</v>
      </c>
      <c r="AC55">
        <f>table_source_donnees[[#This Row],[Telephone_Vendeur]]</f>
        <v>812598453</v>
      </c>
      <c r="AD55" t="str">
        <f>table_source_donnees[[#This Row],[Poste_Vendeur]]</f>
        <v>Gestionnaire des ventes</v>
      </c>
      <c r="AE55" t="str">
        <f>table_source_donnees[[#This Row],[Image_Vendeur]]</f>
        <v>C:\Users\HP\Desktop\1741689394078.jpg</v>
      </c>
      <c r="AF55" t="str">
        <f>table_source_donnees[[#This Row],[Etat_Donnees]]</f>
        <v>Initial</v>
      </c>
    </row>
    <row r="56" spans="1:32" x14ac:dyDescent="0.25">
      <c r="A56" t="e">
        <f>table_source_donnees[[#This Row],[ID_Ligne_Commande]]</f>
        <v>#VALUE!</v>
      </c>
      <c r="B56" t="e">
        <f>table_source_donnees[[#This Row],[ID_Commande]]</f>
        <v>#VALUE!</v>
      </c>
      <c r="C56" t="e">
        <f>table_source_donnees[[#This Row],[ID_Produit]]</f>
        <v>#VALUE!</v>
      </c>
      <c r="D56" t="e">
        <f>table_source_donnees[[#This Row],[Quantite_Commande]]</f>
        <v>#VALUE!</v>
      </c>
      <c r="E56" t="e">
        <f>table_source_donnees[[#This Row],[Prix_Unitaire]]</f>
        <v>#VALUE!</v>
      </c>
      <c r="F56" t="e">
        <f>table_source_donnees[[#This Row],[Total_Ligne]]</f>
        <v>#VALUE!</v>
      </c>
      <c r="G56" t="e">
        <f>table_source_donnees[[#This Row],[Date_Commmande]]</f>
        <v>#VALUE!</v>
      </c>
      <c r="H56" t="e">
        <f>table_source_donnees[[#This Row],[ID_Client]]</f>
        <v>#VALUE!</v>
      </c>
      <c r="I56" t="e">
        <f>table_source_donnees[[#This Row],[ID_Vendeur]]</f>
        <v>#VALUE!</v>
      </c>
      <c r="J56" t="e">
        <f>table_source_donnees[[#This Row],[Statut_Commande]]</f>
        <v>#VALUE!</v>
      </c>
      <c r="K56" t="e">
        <f>table_source_donnees[[#This Row],[Libellé_Produit]]</f>
        <v>#VALUE!</v>
      </c>
      <c r="L56" t="e">
        <f>table_source_donnees[[#This Row],[Description_Produit]]</f>
        <v>#VALUE!</v>
      </c>
      <c r="M56" t="e">
        <f>table_source_donnees[[#This Row],[Prix_Unitaire_Produit]]</f>
        <v>#VALUE!</v>
      </c>
      <c r="N56" t="e">
        <f>table_source_donnees[[#This Row],[Quantité_Stockée]]</f>
        <v>#VALUE!</v>
      </c>
      <c r="O56" t="e">
        <f>table_source_donnees[[#This Row],[ID_Categorie_Produit]]</f>
        <v>#VALUE!</v>
      </c>
      <c r="P56" t="e">
        <f>table_source_donnees[[#This Row],[Image_Produit]]</f>
        <v>#VALUE!</v>
      </c>
      <c r="Q56" t="e">
        <f>table_source_donnees[[#This Row],[Nom_Categorie_Produit]]</f>
        <v>#VALUE!</v>
      </c>
      <c r="R56" t="e">
        <f>table_source_donnees[[#This Row],[Description_Categorie]]</f>
        <v>#VALUE!</v>
      </c>
      <c r="S56" t="e">
        <f>table_source_donnees[[#This Row],[Nom_Client]]</f>
        <v>#VALUE!</v>
      </c>
      <c r="T56" t="e">
        <f>table_source_donnees[[#This Row],[Prenom_Client]]</f>
        <v>#VALUE!</v>
      </c>
      <c r="U56" t="e">
        <f>table_source_donnees[[#This Row],[Genre_Client]]</f>
        <v>#VALUE!</v>
      </c>
      <c r="V56" t="e">
        <f>table_source_donnees[[#This Row],[Email_Client]]</f>
        <v>#VALUE!</v>
      </c>
      <c r="W56" t="e">
        <f>table_source_donnees[[#This Row],[Telephone_Client]]</f>
        <v>#VALUE!</v>
      </c>
      <c r="X56" t="e">
        <f>table_source_donnees[[#This Row],[Adresse_Client]]</f>
        <v>#VALUE!</v>
      </c>
      <c r="Y56" t="e">
        <f>table_source_donnees[[#This Row],[Nom_Vendeur]]</f>
        <v>#VALUE!</v>
      </c>
      <c r="Z56" t="e">
        <f>table_source_donnees[[#This Row],[Prenom_Vendeur]]</f>
        <v>#VALUE!</v>
      </c>
      <c r="AA56" t="e">
        <f>table_source_donnees[[#This Row],[Genre_Vendeur]]</f>
        <v>#VALUE!</v>
      </c>
      <c r="AB56" t="e">
        <f>table_source_donnees[[#This Row],[Email_Vendeur]]</f>
        <v>#VALUE!</v>
      </c>
      <c r="AC56" t="e">
        <f>table_source_donnees[[#This Row],[Telephone_Vendeur]]</f>
        <v>#VALUE!</v>
      </c>
      <c r="AD56" t="e">
        <f>table_source_donnees[[#This Row],[Poste_Vendeur]]</f>
        <v>#VALUE!</v>
      </c>
      <c r="AE56" t="e">
        <f>table_source_donnees[[#This Row],[Image_Vendeur]]</f>
        <v>#VALUE!</v>
      </c>
      <c r="AF56" t="e">
        <f>table_source_donnees[[#This Row],[Etat_Donnees]]</f>
        <v>#VALUE!</v>
      </c>
    </row>
    <row r="57" spans="1:32" x14ac:dyDescent="0.25">
      <c r="A57" t="e">
        <f>table_source_donnees[[#This Row],[ID_Ligne_Commande]]</f>
        <v>#VALUE!</v>
      </c>
      <c r="B57" t="e">
        <f>table_source_donnees[[#This Row],[ID_Commande]]</f>
        <v>#VALUE!</v>
      </c>
      <c r="C57" t="e">
        <f>table_source_donnees[[#This Row],[ID_Produit]]</f>
        <v>#VALUE!</v>
      </c>
      <c r="D57" t="e">
        <f>table_source_donnees[[#This Row],[Quantite_Commande]]</f>
        <v>#VALUE!</v>
      </c>
      <c r="E57" t="e">
        <f>table_source_donnees[[#This Row],[Prix_Unitaire]]</f>
        <v>#VALUE!</v>
      </c>
      <c r="F57" t="e">
        <f>table_source_donnees[[#This Row],[Total_Ligne]]</f>
        <v>#VALUE!</v>
      </c>
      <c r="G57" t="e">
        <f>table_source_donnees[[#This Row],[Date_Commmande]]</f>
        <v>#VALUE!</v>
      </c>
      <c r="H57" t="e">
        <f>table_source_donnees[[#This Row],[ID_Client]]</f>
        <v>#VALUE!</v>
      </c>
      <c r="I57" t="e">
        <f>table_source_donnees[[#This Row],[ID_Vendeur]]</f>
        <v>#VALUE!</v>
      </c>
      <c r="J57" t="e">
        <f>table_source_donnees[[#This Row],[Statut_Commande]]</f>
        <v>#VALUE!</v>
      </c>
      <c r="K57" t="e">
        <f>table_source_donnees[[#This Row],[Libellé_Produit]]</f>
        <v>#VALUE!</v>
      </c>
      <c r="L57" t="e">
        <f>table_source_donnees[[#This Row],[Description_Produit]]</f>
        <v>#VALUE!</v>
      </c>
      <c r="M57" t="e">
        <f>table_source_donnees[[#This Row],[Prix_Unitaire_Produit]]</f>
        <v>#VALUE!</v>
      </c>
      <c r="N57" t="e">
        <f>table_source_donnees[[#This Row],[Quantité_Stockée]]</f>
        <v>#VALUE!</v>
      </c>
      <c r="O57" t="e">
        <f>table_source_donnees[[#This Row],[ID_Categorie_Produit]]</f>
        <v>#VALUE!</v>
      </c>
      <c r="P57" t="e">
        <f>table_source_donnees[[#This Row],[Image_Produit]]</f>
        <v>#VALUE!</v>
      </c>
      <c r="Q57" t="e">
        <f>table_source_donnees[[#This Row],[Nom_Categorie_Produit]]</f>
        <v>#VALUE!</v>
      </c>
      <c r="R57" t="e">
        <f>table_source_donnees[[#This Row],[Description_Categorie]]</f>
        <v>#VALUE!</v>
      </c>
      <c r="S57" t="e">
        <f>table_source_donnees[[#This Row],[Nom_Client]]</f>
        <v>#VALUE!</v>
      </c>
      <c r="T57" t="e">
        <f>table_source_donnees[[#This Row],[Prenom_Client]]</f>
        <v>#VALUE!</v>
      </c>
      <c r="U57" t="e">
        <f>table_source_donnees[[#This Row],[Genre_Client]]</f>
        <v>#VALUE!</v>
      </c>
      <c r="V57" t="e">
        <f>table_source_donnees[[#This Row],[Email_Client]]</f>
        <v>#VALUE!</v>
      </c>
      <c r="W57" t="e">
        <f>table_source_donnees[[#This Row],[Telephone_Client]]</f>
        <v>#VALUE!</v>
      </c>
      <c r="X57" t="e">
        <f>table_source_donnees[[#This Row],[Adresse_Client]]</f>
        <v>#VALUE!</v>
      </c>
      <c r="Y57" t="e">
        <f>table_source_donnees[[#This Row],[Nom_Vendeur]]</f>
        <v>#VALUE!</v>
      </c>
      <c r="Z57" t="e">
        <f>table_source_donnees[[#This Row],[Prenom_Vendeur]]</f>
        <v>#VALUE!</v>
      </c>
      <c r="AA57" t="e">
        <f>table_source_donnees[[#This Row],[Genre_Vendeur]]</f>
        <v>#VALUE!</v>
      </c>
      <c r="AB57" t="e">
        <f>table_source_donnees[[#This Row],[Email_Vendeur]]</f>
        <v>#VALUE!</v>
      </c>
      <c r="AC57" t="e">
        <f>table_source_donnees[[#This Row],[Telephone_Vendeur]]</f>
        <v>#VALUE!</v>
      </c>
      <c r="AD57" t="e">
        <f>table_source_donnees[[#This Row],[Poste_Vendeur]]</f>
        <v>#VALUE!</v>
      </c>
      <c r="AE57" t="e">
        <f>table_source_donnees[[#This Row],[Image_Vendeur]]</f>
        <v>#VALUE!</v>
      </c>
      <c r="AF57" t="e">
        <f>table_source_donnees[[#This Row],[Etat_Donnees]]</f>
        <v>#VALUE!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CB65-167B-4B0D-A8BF-EE91A4CEFF48}">
  <sheetPr codeName="Feuil13"/>
  <dimension ref="A1:C184"/>
  <sheetViews>
    <sheetView workbookViewId="0">
      <selection activeCell="E20" sqref="E20"/>
    </sheetView>
  </sheetViews>
  <sheetFormatPr baseColWidth="10" defaultRowHeight="15" x14ac:dyDescent="0.25"/>
  <cols>
    <col min="1" max="1" width="11.85546875" bestFit="1" customWidth="1"/>
    <col min="2" max="2" width="14.7109375" bestFit="1" customWidth="1"/>
    <col min="3" max="3" width="19.85546875" bestFit="1" customWidth="1"/>
  </cols>
  <sheetData>
    <row r="1" spans="1:3" x14ac:dyDescent="0.25">
      <c r="A1" s="62" t="s">
        <v>349</v>
      </c>
      <c r="B1" s="63" t="s">
        <v>350</v>
      </c>
      <c r="C1" s="64" t="s">
        <v>351</v>
      </c>
    </row>
    <row r="2" spans="1:3" x14ac:dyDescent="0.25">
      <c r="A2" s="65" t="s">
        <v>155</v>
      </c>
      <c r="B2" s="66" t="s">
        <v>156</v>
      </c>
      <c r="C2" s="67" t="s">
        <v>157</v>
      </c>
    </row>
    <row r="3" spans="1:3" x14ac:dyDescent="0.25">
      <c r="A3" s="65" t="s">
        <v>155</v>
      </c>
      <c r="B3" s="66" t="s">
        <v>156</v>
      </c>
      <c r="C3" s="67" t="s">
        <v>158</v>
      </c>
    </row>
    <row r="4" spans="1:3" x14ac:dyDescent="0.25">
      <c r="A4" s="65" t="s">
        <v>155</v>
      </c>
      <c r="B4" s="66" t="s">
        <v>156</v>
      </c>
      <c r="C4" s="67" t="s">
        <v>159</v>
      </c>
    </row>
    <row r="5" spans="1:3" x14ac:dyDescent="0.25">
      <c r="A5" s="65" t="s">
        <v>155</v>
      </c>
      <c r="B5" s="66" t="s">
        <v>156</v>
      </c>
      <c r="C5" s="67" t="s">
        <v>160</v>
      </c>
    </row>
    <row r="6" spans="1:3" x14ac:dyDescent="0.25">
      <c r="A6" s="65" t="s">
        <v>155</v>
      </c>
      <c r="B6" s="66" t="s">
        <v>156</v>
      </c>
      <c r="C6" s="67" t="s">
        <v>161</v>
      </c>
    </row>
    <row r="7" spans="1:3" x14ac:dyDescent="0.25">
      <c r="A7" s="65" t="s">
        <v>155</v>
      </c>
      <c r="B7" s="66" t="s">
        <v>162</v>
      </c>
      <c r="C7" s="67" t="s">
        <v>163</v>
      </c>
    </row>
    <row r="8" spans="1:3" x14ac:dyDescent="0.25">
      <c r="A8" s="65" t="s">
        <v>155</v>
      </c>
      <c r="B8" s="66" t="s">
        <v>162</v>
      </c>
      <c r="C8" s="67" t="s">
        <v>164</v>
      </c>
    </row>
    <row r="9" spans="1:3" x14ac:dyDescent="0.25">
      <c r="A9" s="65" t="s">
        <v>155</v>
      </c>
      <c r="B9" s="66" t="s">
        <v>162</v>
      </c>
      <c r="C9" s="67" t="s">
        <v>165</v>
      </c>
    </row>
    <row r="10" spans="1:3" x14ac:dyDescent="0.25">
      <c r="A10" s="65" t="s">
        <v>155</v>
      </c>
      <c r="B10" s="66" t="s">
        <v>162</v>
      </c>
      <c r="C10" s="67" t="s">
        <v>166</v>
      </c>
    </row>
    <row r="11" spans="1:3" x14ac:dyDescent="0.25">
      <c r="A11" s="65" t="s">
        <v>155</v>
      </c>
      <c r="B11" s="66" t="s">
        <v>162</v>
      </c>
      <c r="C11" s="67" t="s">
        <v>167</v>
      </c>
    </row>
    <row r="12" spans="1:3" x14ac:dyDescent="0.25">
      <c r="A12" s="65" t="s">
        <v>155</v>
      </c>
      <c r="B12" s="66" t="s">
        <v>168</v>
      </c>
      <c r="C12" s="67" t="s">
        <v>169</v>
      </c>
    </row>
    <row r="13" spans="1:3" x14ac:dyDescent="0.25">
      <c r="A13" s="65" t="s">
        <v>155</v>
      </c>
      <c r="B13" s="66" t="s">
        <v>168</v>
      </c>
      <c r="C13" s="67" t="s">
        <v>170</v>
      </c>
    </row>
    <row r="14" spans="1:3" x14ac:dyDescent="0.25">
      <c r="A14" s="65" t="s">
        <v>155</v>
      </c>
      <c r="B14" s="66" t="s">
        <v>168</v>
      </c>
      <c r="C14" s="67" t="s">
        <v>171</v>
      </c>
    </row>
    <row r="15" spans="1:3" x14ac:dyDescent="0.25">
      <c r="A15" s="65" t="s">
        <v>155</v>
      </c>
      <c r="B15" s="66" t="s">
        <v>168</v>
      </c>
      <c r="C15" s="67" t="s">
        <v>172</v>
      </c>
    </row>
    <row r="16" spans="1:3" x14ac:dyDescent="0.25">
      <c r="A16" s="65" t="s">
        <v>155</v>
      </c>
      <c r="B16" s="66" t="s">
        <v>168</v>
      </c>
      <c r="C16" s="67" t="s">
        <v>173</v>
      </c>
    </row>
    <row r="17" spans="1:3" x14ac:dyDescent="0.25">
      <c r="A17" s="65" t="s">
        <v>155</v>
      </c>
      <c r="B17" s="66" t="s">
        <v>159</v>
      </c>
      <c r="C17" s="67" t="s">
        <v>174</v>
      </c>
    </row>
    <row r="18" spans="1:3" x14ac:dyDescent="0.25">
      <c r="A18" s="65" t="s">
        <v>155</v>
      </c>
      <c r="B18" s="66" t="s">
        <v>159</v>
      </c>
      <c r="C18" s="67" t="s">
        <v>175</v>
      </c>
    </row>
    <row r="19" spans="1:3" x14ac:dyDescent="0.25">
      <c r="A19" s="65" t="s">
        <v>155</v>
      </c>
      <c r="B19" s="66" t="s">
        <v>159</v>
      </c>
      <c r="C19" s="67" t="s">
        <v>176</v>
      </c>
    </row>
    <row r="20" spans="1:3" x14ac:dyDescent="0.25">
      <c r="A20" s="65" t="s">
        <v>155</v>
      </c>
      <c r="B20" s="66" t="s">
        <v>159</v>
      </c>
      <c r="C20" s="67" t="s">
        <v>177</v>
      </c>
    </row>
    <row r="21" spans="1:3" x14ac:dyDescent="0.25">
      <c r="A21" s="65" t="s">
        <v>155</v>
      </c>
      <c r="B21" s="66" t="s">
        <v>159</v>
      </c>
      <c r="C21" s="67" t="s">
        <v>178</v>
      </c>
    </row>
    <row r="22" spans="1:3" x14ac:dyDescent="0.25">
      <c r="A22" s="65" t="s">
        <v>155</v>
      </c>
      <c r="B22" s="66" t="s">
        <v>179</v>
      </c>
      <c r="C22" s="67" t="s">
        <v>180</v>
      </c>
    </row>
    <row r="23" spans="1:3" x14ac:dyDescent="0.25">
      <c r="A23" s="65" t="s">
        <v>155</v>
      </c>
      <c r="B23" s="66" t="s">
        <v>179</v>
      </c>
      <c r="C23" s="67" t="s">
        <v>159</v>
      </c>
    </row>
    <row r="24" spans="1:3" x14ac:dyDescent="0.25">
      <c r="A24" s="65" t="s">
        <v>155</v>
      </c>
      <c r="B24" s="66" t="s">
        <v>179</v>
      </c>
      <c r="C24" s="67" t="s">
        <v>181</v>
      </c>
    </row>
    <row r="25" spans="1:3" x14ac:dyDescent="0.25">
      <c r="A25" s="65" t="s">
        <v>155</v>
      </c>
      <c r="B25" s="66" t="s">
        <v>179</v>
      </c>
      <c r="C25" s="67" t="s">
        <v>182</v>
      </c>
    </row>
    <row r="26" spans="1:3" x14ac:dyDescent="0.25">
      <c r="A26" s="65" t="s">
        <v>155</v>
      </c>
      <c r="B26" s="66" t="s">
        <v>179</v>
      </c>
      <c r="C26" s="67" t="s">
        <v>183</v>
      </c>
    </row>
    <row r="27" spans="1:3" x14ac:dyDescent="0.25">
      <c r="A27" s="65" t="s">
        <v>155</v>
      </c>
      <c r="B27" s="66" t="s">
        <v>184</v>
      </c>
      <c r="C27" s="67" t="s">
        <v>185</v>
      </c>
    </row>
    <row r="28" spans="1:3" x14ac:dyDescent="0.25">
      <c r="A28" s="65" t="s">
        <v>155</v>
      </c>
      <c r="B28" s="66" t="s">
        <v>184</v>
      </c>
      <c r="C28" s="67" t="s">
        <v>186</v>
      </c>
    </row>
    <row r="29" spans="1:3" x14ac:dyDescent="0.25">
      <c r="A29" s="65" t="s">
        <v>155</v>
      </c>
      <c r="B29" s="66" t="s">
        <v>184</v>
      </c>
      <c r="C29" s="67" t="s">
        <v>187</v>
      </c>
    </row>
    <row r="30" spans="1:3" x14ac:dyDescent="0.25">
      <c r="A30" s="65" t="s">
        <v>155</v>
      </c>
      <c r="B30" s="66" t="s">
        <v>184</v>
      </c>
      <c r="C30" s="67" t="s">
        <v>188</v>
      </c>
    </row>
    <row r="31" spans="1:3" x14ac:dyDescent="0.25">
      <c r="A31" s="65" t="s">
        <v>155</v>
      </c>
      <c r="B31" s="66" t="s">
        <v>184</v>
      </c>
      <c r="C31" s="67" t="s">
        <v>189</v>
      </c>
    </row>
    <row r="32" spans="1:3" x14ac:dyDescent="0.25">
      <c r="A32" s="65" t="s">
        <v>155</v>
      </c>
      <c r="B32" s="66" t="s">
        <v>190</v>
      </c>
      <c r="C32" s="67" t="s">
        <v>191</v>
      </c>
    </row>
    <row r="33" spans="1:3" x14ac:dyDescent="0.25">
      <c r="A33" s="65" t="s">
        <v>155</v>
      </c>
      <c r="B33" s="66" t="s">
        <v>190</v>
      </c>
      <c r="C33" s="67" t="s">
        <v>192</v>
      </c>
    </row>
    <row r="34" spans="1:3" x14ac:dyDescent="0.25">
      <c r="A34" s="65" t="s">
        <v>155</v>
      </c>
      <c r="B34" s="66" t="s">
        <v>190</v>
      </c>
      <c r="C34" s="67" t="s">
        <v>193</v>
      </c>
    </row>
    <row r="35" spans="1:3" x14ac:dyDescent="0.25">
      <c r="A35" s="65" t="s">
        <v>155</v>
      </c>
      <c r="B35" s="66" t="s">
        <v>190</v>
      </c>
      <c r="C35" s="67" t="s">
        <v>194</v>
      </c>
    </row>
    <row r="36" spans="1:3" x14ac:dyDescent="0.25">
      <c r="A36" s="65" t="s">
        <v>155</v>
      </c>
      <c r="B36" s="66" t="s">
        <v>190</v>
      </c>
      <c r="C36" s="67" t="s">
        <v>195</v>
      </c>
    </row>
    <row r="37" spans="1:3" x14ac:dyDescent="0.25">
      <c r="A37" s="65" t="s">
        <v>196</v>
      </c>
      <c r="B37" s="66" t="s">
        <v>197</v>
      </c>
      <c r="C37" s="67" t="s">
        <v>198</v>
      </c>
    </row>
    <row r="38" spans="1:3" x14ac:dyDescent="0.25">
      <c r="A38" s="65" t="s">
        <v>196</v>
      </c>
      <c r="B38" s="66" t="s">
        <v>197</v>
      </c>
      <c r="C38" s="67" t="s">
        <v>199</v>
      </c>
    </row>
    <row r="39" spans="1:3" x14ac:dyDescent="0.25">
      <c r="A39" s="65" t="s">
        <v>196</v>
      </c>
      <c r="B39" s="66" t="s">
        <v>197</v>
      </c>
      <c r="C39" s="67" t="s">
        <v>200</v>
      </c>
    </row>
    <row r="40" spans="1:3" x14ac:dyDescent="0.25">
      <c r="A40" s="65" t="s">
        <v>196</v>
      </c>
      <c r="B40" s="66" t="s">
        <v>197</v>
      </c>
      <c r="C40" s="67" t="s">
        <v>201</v>
      </c>
    </row>
    <row r="41" spans="1:3" x14ac:dyDescent="0.25">
      <c r="A41" s="65" t="s">
        <v>196</v>
      </c>
      <c r="B41" s="66" t="s">
        <v>197</v>
      </c>
      <c r="C41" s="67" t="s">
        <v>202</v>
      </c>
    </row>
    <row r="42" spans="1:3" x14ac:dyDescent="0.25">
      <c r="A42" s="65" t="s">
        <v>196</v>
      </c>
      <c r="B42" s="66" t="s">
        <v>203</v>
      </c>
      <c r="C42" s="67" t="s">
        <v>204</v>
      </c>
    </row>
    <row r="43" spans="1:3" x14ac:dyDescent="0.25">
      <c r="A43" s="65" t="s">
        <v>196</v>
      </c>
      <c r="B43" s="66" t="s">
        <v>203</v>
      </c>
      <c r="C43" s="67" t="s">
        <v>205</v>
      </c>
    </row>
    <row r="44" spans="1:3" x14ac:dyDescent="0.25">
      <c r="A44" s="65" t="s">
        <v>196</v>
      </c>
      <c r="B44" s="66" t="s">
        <v>203</v>
      </c>
      <c r="C44" s="67" t="s">
        <v>206</v>
      </c>
    </row>
    <row r="45" spans="1:3" x14ac:dyDescent="0.25">
      <c r="A45" s="65" t="s">
        <v>196</v>
      </c>
      <c r="B45" s="66" t="s">
        <v>203</v>
      </c>
      <c r="C45" s="67" t="s">
        <v>207</v>
      </c>
    </row>
    <row r="46" spans="1:3" x14ac:dyDescent="0.25">
      <c r="A46" s="65" t="s">
        <v>196</v>
      </c>
      <c r="B46" s="66" t="s">
        <v>203</v>
      </c>
      <c r="C46" s="67" t="s">
        <v>208</v>
      </c>
    </row>
    <row r="47" spans="1:3" x14ac:dyDescent="0.25">
      <c r="A47" s="65" t="s">
        <v>196</v>
      </c>
      <c r="B47" s="66" t="s">
        <v>209</v>
      </c>
      <c r="C47" s="67" t="s">
        <v>210</v>
      </c>
    </row>
    <row r="48" spans="1:3" x14ac:dyDescent="0.25">
      <c r="A48" s="65" t="s">
        <v>196</v>
      </c>
      <c r="B48" s="66" t="s">
        <v>209</v>
      </c>
      <c r="C48" s="67" t="s">
        <v>211</v>
      </c>
    </row>
    <row r="49" spans="1:3" x14ac:dyDescent="0.25">
      <c r="A49" s="65" t="s">
        <v>196</v>
      </c>
      <c r="B49" s="66" t="s">
        <v>209</v>
      </c>
      <c r="C49" s="67" t="s">
        <v>212</v>
      </c>
    </row>
    <row r="50" spans="1:3" x14ac:dyDescent="0.25">
      <c r="A50" s="65" t="s">
        <v>196</v>
      </c>
      <c r="B50" s="66" t="s">
        <v>209</v>
      </c>
      <c r="C50" s="67" t="s">
        <v>213</v>
      </c>
    </row>
    <row r="51" spans="1:3" x14ac:dyDescent="0.25">
      <c r="A51" s="65" t="s">
        <v>196</v>
      </c>
      <c r="B51" s="66" t="s">
        <v>209</v>
      </c>
      <c r="C51" s="67" t="s">
        <v>175</v>
      </c>
    </row>
    <row r="52" spans="1:3" x14ac:dyDescent="0.25">
      <c r="A52" s="65" t="s">
        <v>196</v>
      </c>
      <c r="B52" s="66" t="s">
        <v>214</v>
      </c>
      <c r="C52" s="67" t="s">
        <v>215</v>
      </c>
    </row>
    <row r="53" spans="1:3" x14ac:dyDescent="0.25">
      <c r="A53" s="65" t="s">
        <v>196</v>
      </c>
      <c r="B53" s="66" t="s">
        <v>214</v>
      </c>
      <c r="C53" s="67" t="s">
        <v>183</v>
      </c>
    </row>
    <row r="54" spans="1:3" x14ac:dyDescent="0.25">
      <c r="A54" s="65" t="s">
        <v>196</v>
      </c>
      <c r="B54" s="66" t="s">
        <v>214</v>
      </c>
      <c r="C54" s="67" t="s">
        <v>216</v>
      </c>
    </row>
    <row r="55" spans="1:3" x14ac:dyDescent="0.25">
      <c r="A55" s="65" t="s">
        <v>196</v>
      </c>
      <c r="B55" s="66" t="s">
        <v>214</v>
      </c>
      <c r="C55" s="67" t="s">
        <v>172</v>
      </c>
    </row>
    <row r="56" spans="1:3" x14ac:dyDescent="0.25">
      <c r="A56" s="65" t="s">
        <v>196</v>
      </c>
      <c r="B56" s="66" t="s">
        <v>214</v>
      </c>
      <c r="C56" s="67" t="s">
        <v>169</v>
      </c>
    </row>
    <row r="57" spans="1:3" x14ac:dyDescent="0.25">
      <c r="A57" s="65" t="s">
        <v>196</v>
      </c>
      <c r="B57" s="66" t="s">
        <v>217</v>
      </c>
      <c r="C57" s="67" t="s">
        <v>218</v>
      </c>
    </row>
    <row r="58" spans="1:3" x14ac:dyDescent="0.25">
      <c r="A58" s="65" t="s">
        <v>196</v>
      </c>
      <c r="B58" s="66" t="s">
        <v>217</v>
      </c>
      <c r="C58" s="67" t="s">
        <v>219</v>
      </c>
    </row>
    <row r="59" spans="1:3" x14ac:dyDescent="0.25">
      <c r="A59" s="65" t="s">
        <v>196</v>
      </c>
      <c r="B59" s="66" t="s">
        <v>217</v>
      </c>
      <c r="C59" s="67" t="s">
        <v>220</v>
      </c>
    </row>
    <row r="60" spans="1:3" x14ac:dyDescent="0.25">
      <c r="A60" s="65" t="s">
        <v>196</v>
      </c>
      <c r="B60" s="66" t="s">
        <v>217</v>
      </c>
      <c r="C60" s="67" t="s">
        <v>221</v>
      </c>
    </row>
    <row r="61" spans="1:3" x14ac:dyDescent="0.25">
      <c r="A61" s="65" t="s">
        <v>196</v>
      </c>
      <c r="B61" s="66" t="s">
        <v>217</v>
      </c>
      <c r="C61" s="67" t="s">
        <v>222</v>
      </c>
    </row>
    <row r="62" spans="1:3" x14ac:dyDescent="0.25">
      <c r="A62" s="65" t="s">
        <v>196</v>
      </c>
      <c r="B62" s="66" t="s">
        <v>223</v>
      </c>
      <c r="C62" s="67" t="s">
        <v>224</v>
      </c>
    </row>
    <row r="63" spans="1:3" x14ac:dyDescent="0.25">
      <c r="A63" s="65" t="s">
        <v>196</v>
      </c>
      <c r="B63" s="66" t="s">
        <v>223</v>
      </c>
      <c r="C63" s="67" t="s">
        <v>225</v>
      </c>
    </row>
    <row r="64" spans="1:3" x14ac:dyDescent="0.25">
      <c r="A64" s="65" t="s">
        <v>196</v>
      </c>
      <c r="B64" s="66" t="s">
        <v>223</v>
      </c>
      <c r="C64" s="67" t="s">
        <v>226</v>
      </c>
    </row>
    <row r="65" spans="1:3" x14ac:dyDescent="0.25">
      <c r="A65" s="65" t="s">
        <v>196</v>
      </c>
      <c r="B65" s="66" t="s">
        <v>223</v>
      </c>
      <c r="C65" s="67" t="s">
        <v>227</v>
      </c>
    </row>
    <row r="66" spans="1:3" x14ac:dyDescent="0.25">
      <c r="A66" s="65" t="s">
        <v>196</v>
      </c>
      <c r="B66" s="66" t="s">
        <v>223</v>
      </c>
      <c r="C66" s="67" t="s">
        <v>228</v>
      </c>
    </row>
    <row r="67" spans="1:3" x14ac:dyDescent="0.25">
      <c r="A67" s="65" t="s">
        <v>196</v>
      </c>
      <c r="B67" s="66" t="s">
        <v>223</v>
      </c>
      <c r="C67" s="67" t="s">
        <v>229</v>
      </c>
    </row>
    <row r="68" spans="1:3" x14ac:dyDescent="0.25">
      <c r="A68" s="65" t="s">
        <v>196</v>
      </c>
      <c r="B68" s="66" t="s">
        <v>223</v>
      </c>
      <c r="C68" s="67" t="s">
        <v>230</v>
      </c>
    </row>
    <row r="69" spans="1:3" x14ac:dyDescent="0.25">
      <c r="A69" s="65" t="s">
        <v>196</v>
      </c>
      <c r="B69" s="66" t="s">
        <v>223</v>
      </c>
      <c r="C69" s="67" t="s">
        <v>231</v>
      </c>
    </row>
    <row r="70" spans="1:3" x14ac:dyDescent="0.25">
      <c r="A70" s="65" t="s">
        <v>196</v>
      </c>
      <c r="B70" s="66" t="s">
        <v>223</v>
      </c>
      <c r="C70" s="67" t="s">
        <v>232</v>
      </c>
    </row>
    <row r="71" spans="1:3" x14ac:dyDescent="0.25">
      <c r="A71" s="65" t="s">
        <v>196</v>
      </c>
      <c r="B71" s="66" t="s">
        <v>223</v>
      </c>
      <c r="C71" s="67" t="s">
        <v>233</v>
      </c>
    </row>
    <row r="72" spans="1:3" x14ac:dyDescent="0.25">
      <c r="A72" s="65" t="s">
        <v>196</v>
      </c>
      <c r="B72" s="66" t="s">
        <v>223</v>
      </c>
      <c r="C72" s="67" t="s">
        <v>234</v>
      </c>
    </row>
    <row r="73" spans="1:3" x14ac:dyDescent="0.25">
      <c r="A73" s="65" t="s">
        <v>196</v>
      </c>
      <c r="B73" s="66" t="s">
        <v>223</v>
      </c>
      <c r="C73" s="67" t="s">
        <v>235</v>
      </c>
    </row>
    <row r="74" spans="1:3" x14ac:dyDescent="0.25">
      <c r="A74" s="65" t="s">
        <v>196</v>
      </c>
      <c r="B74" s="66" t="s">
        <v>223</v>
      </c>
      <c r="C74" s="67" t="s">
        <v>236</v>
      </c>
    </row>
    <row r="75" spans="1:3" x14ac:dyDescent="0.25">
      <c r="A75" s="65" t="s">
        <v>196</v>
      </c>
      <c r="B75" s="66" t="s">
        <v>223</v>
      </c>
      <c r="C75" s="67" t="s">
        <v>237</v>
      </c>
    </row>
    <row r="76" spans="1:3" x14ac:dyDescent="0.25">
      <c r="A76" s="65" t="s">
        <v>196</v>
      </c>
      <c r="B76" s="66" t="s">
        <v>223</v>
      </c>
      <c r="C76" s="67" t="s">
        <v>192</v>
      </c>
    </row>
    <row r="77" spans="1:3" x14ac:dyDescent="0.25">
      <c r="A77" s="65" t="s">
        <v>196</v>
      </c>
      <c r="B77" s="66" t="s">
        <v>223</v>
      </c>
      <c r="C77" s="67" t="s">
        <v>238</v>
      </c>
    </row>
    <row r="78" spans="1:3" x14ac:dyDescent="0.25">
      <c r="A78" s="65" t="s">
        <v>196</v>
      </c>
      <c r="B78" s="66" t="s">
        <v>223</v>
      </c>
      <c r="C78" s="67" t="s">
        <v>239</v>
      </c>
    </row>
    <row r="79" spans="1:3" x14ac:dyDescent="0.25">
      <c r="A79" s="65" t="s">
        <v>196</v>
      </c>
      <c r="B79" s="66" t="s">
        <v>223</v>
      </c>
      <c r="C79" s="67" t="s">
        <v>240</v>
      </c>
    </row>
    <row r="80" spans="1:3" x14ac:dyDescent="0.25">
      <c r="A80" s="65" t="s">
        <v>196</v>
      </c>
      <c r="B80" s="66" t="s">
        <v>223</v>
      </c>
      <c r="C80" s="67" t="s">
        <v>241</v>
      </c>
    </row>
    <row r="81" spans="1:3" x14ac:dyDescent="0.25">
      <c r="A81" s="65" t="s">
        <v>196</v>
      </c>
      <c r="B81" s="66" t="s">
        <v>223</v>
      </c>
      <c r="C81" s="67" t="s">
        <v>242</v>
      </c>
    </row>
    <row r="82" spans="1:3" x14ac:dyDescent="0.25">
      <c r="A82" s="65" t="s">
        <v>196</v>
      </c>
      <c r="B82" s="66" t="s">
        <v>223</v>
      </c>
      <c r="C82" s="67" t="s">
        <v>243</v>
      </c>
    </row>
    <row r="83" spans="1:3" x14ac:dyDescent="0.25">
      <c r="A83" s="65" t="s">
        <v>196</v>
      </c>
      <c r="B83" s="66" t="s">
        <v>244</v>
      </c>
      <c r="C83" s="67" t="s">
        <v>245</v>
      </c>
    </row>
    <row r="84" spans="1:3" x14ac:dyDescent="0.25">
      <c r="A84" s="65" t="s">
        <v>196</v>
      </c>
      <c r="B84" s="66" t="s">
        <v>244</v>
      </c>
      <c r="C84" s="67" t="s">
        <v>246</v>
      </c>
    </row>
    <row r="85" spans="1:3" x14ac:dyDescent="0.25">
      <c r="A85" s="65" t="s">
        <v>196</v>
      </c>
      <c r="B85" s="66" t="s">
        <v>244</v>
      </c>
      <c r="C85" s="67" t="s">
        <v>247</v>
      </c>
    </row>
    <row r="86" spans="1:3" x14ac:dyDescent="0.25">
      <c r="A86" s="65" t="s">
        <v>196</v>
      </c>
      <c r="B86" s="66" t="s">
        <v>244</v>
      </c>
      <c r="C86" s="67" t="s">
        <v>248</v>
      </c>
    </row>
    <row r="87" spans="1:3" x14ac:dyDescent="0.25">
      <c r="A87" s="65" t="s">
        <v>196</v>
      </c>
      <c r="B87" s="66" t="s">
        <v>244</v>
      </c>
      <c r="C87" s="67" t="s">
        <v>249</v>
      </c>
    </row>
    <row r="88" spans="1:3" x14ac:dyDescent="0.25">
      <c r="A88" s="65" t="s">
        <v>196</v>
      </c>
      <c r="B88" s="66" t="s">
        <v>244</v>
      </c>
      <c r="C88" s="67" t="s">
        <v>250</v>
      </c>
    </row>
    <row r="89" spans="1:3" x14ac:dyDescent="0.25">
      <c r="A89" s="65" t="s">
        <v>196</v>
      </c>
      <c r="B89" s="66" t="s">
        <v>244</v>
      </c>
      <c r="C89" s="67" t="s">
        <v>251</v>
      </c>
    </row>
    <row r="90" spans="1:3" x14ac:dyDescent="0.25">
      <c r="A90" s="65" t="s">
        <v>196</v>
      </c>
      <c r="B90" s="66" t="s">
        <v>244</v>
      </c>
      <c r="C90" s="67" t="s">
        <v>252</v>
      </c>
    </row>
    <row r="91" spans="1:3" x14ac:dyDescent="0.25">
      <c r="A91" s="65" t="s">
        <v>196</v>
      </c>
      <c r="B91" s="66" t="s">
        <v>244</v>
      </c>
      <c r="C91" s="67" t="s">
        <v>253</v>
      </c>
    </row>
    <row r="92" spans="1:3" x14ac:dyDescent="0.25">
      <c r="A92" s="65" t="s">
        <v>196</v>
      </c>
      <c r="B92" s="66" t="s">
        <v>244</v>
      </c>
      <c r="C92" s="67" t="s">
        <v>254</v>
      </c>
    </row>
    <row r="93" spans="1:3" x14ac:dyDescent="0.25">
      <c r="A93" s="65" t="s">
        <v>196</v>
      </c>
      <c r="B93" s="66" t="s">
        <v>244</v>
      </c>
      <c r="C93" s="67" t="s">
        <v>255</v>
      </c>
    </row>
    <row r="94" spans="1:3" x14ac:dyDescent="0.25">
      <c r="A94" s="65" t="s">
        <v>196</v>
      </c>
      <c r="B94" s="66" t="s">
        <v>244</v>
      </c>
      <c r="C94" s="67" t="s">
        <v>256</v>
      </c>
    </row>
    <row r="95" spans="1:3" x14ac:dyDescent="0.25">
      <c r="A95" s="65" t="s">
        <v>196</v>
      </c>
      <c r="B95" s="66" t="s">
        <v>244</v>
      </c>
      <c r="C95" s="67" t="s">
        <v>257</v>
      </c>
    </row>
    <row r="96" spans="1:3" x14ac:dyDescent="0.25">
      <c r="A96" s="65" t="s">
        <v>196</v>
      </c>
      <c r="B96" s="66" t="s">
        <v>244</v>
      </c>
      <c r="C96" s="67" t="s">
        <v>258</v>
      </c>
    </row>
    <row r="97" spans="1:3" x14ac:dyDescent="0.25">
      <c r="A97" s="65" t="s">
        <v>196</v>
      </c>
      <c r="B97" s="66" t="s">
        <v>244</v>
      </c>
      <c r="C97" s="67" t="s">
        <v>259</v>
      </c>
    </row>
    <row r="98" spans="1:3" x14ac:dyDescent="0.25">
      <c r="A98" s="65" t="s">
        <v>196</v>
      </c>
      <c r="B98" s="66" t="s">
        <v>244</v>
      </c>
      <c r="C98" s="67" t="s">
        <v>260</v>
      </c>
    </row>
    <row r="99" spans="1:3" x14ac:dyDescent="0.25">
      <c r="A99" s="65" t="s">
        <v>196</v>
      </c>
      <c r="B99" s="66" t="s">
        <v>244</v>
      </c>
      <c r="C99" s="67" t="s">
        <v>261</v>
      </c>
    </row>
    <row r="100" spans="1:3" x14ac:dyDescent="0.25">
      <c r="A100" s="65" t="s">
        <v>196</v>
      </c>
      <c r="B100" s="66" t="s">
        <v>244</v>
      </c>
      <c r="C100" s="67" t="s">
        <v>262</v>
      </c>
    </row>
    <row r="101" spans="1:3" x14ac:dyDescent="0.25">
      <c r="A101" s="65" t="s">
        <v>196</v>
      </c>
      <c r="B101" s="66" t="s">
        <v>244</v>
      </c>
      <c r="C101" s="67" t="s">
        <v>263</v>
      </c>
    </row>
    <row r="102" spans="1:3" x14ac:dyDescent="0.25">
      <c r="A102" s="65" t="s">
        <v>196</v>
      </c>
      <c r="B102" s="66" t="s">
        <v>244</v>
      </c>
      <c r="C102" s="67" t="s">
        <v>264</v>
      </c>
    </row>
    <row r="103" spans="1:3" x14ac:dyDescent="0.25">
      <c r="A103" s="65" t="s">
        <v>196</v>
      </c>
      <c r="B103" s="66" t="s">
        <v>244</v>
      </c>
      <c r="C103" s="67" t="s">
        <v>265</v>
      </c>
    </row>
    <row r="104" spans="1:3" x14ac:dyDescent="0.25">
      <c r="A104" s="65" t="s">
        <v>266</v>
      </c>
      <c r="B104" s="66" t="s">
        <v>267</v>
      </c>
      <c r="C104" s="67" t="s">
        <v>268</v>
      </c>
    </row>
    <row r="105" spans="1:3" x14ac:dyDescent="0.25">
      <c r="A105" s="65" t="s">
        <v>266</v>
      </c>
      <c r="B105" s="66" t="s">
        <v>267</v>
      </c>
      <c r="C105" s="67" t="s">
        <v>269</v>
      </c>
    </row>
    <row r="106" spans="1:3" x14ac:dyDescent="0.25">
      <c r="A106" s="65" t="s">
        <v>266</v>
      </c>
      <c r="B106" s="66" t="s">
        <v>267</v>
      </c>
      <c r="C106" s="67" t="s">
        <v>270</v>
      </c>
    </row>
    <row r="107" spans="1:3" x14ac:dyDescent="0.25">
      <c r="A107" s="65" t="s">
        <v>266</v>
      </c>
      <c r="B107" s="66" t="s">
        <v>267</v>
      </c>
      <c r="C107" s="67" t="s">
        <v>271</v>
      </c>
    </row>
    <row r="108" spans="1:3" x14ac:dyDescent="0.25">
      <c r="A108" s="65" t="s">
        <v>266</v>
      </c>
      <c r="B108" s="66" t="s">
        <v>267</v>
      </c>
      <c r="C108" s="67" t="s">
        <v>272</v>
      </c>
    </row>
    <row r="109" spans="1:3" x14ac:dyDescent="0.25">
      <c r="A109" s="65" t="s">
        <v>266</v>
      </c>
      <c r="B109" s="66" t="s">
        <v>273</v>
      </c>
      <c r="C109" s="67" t="s">
        <v>274</v>
      </c>
    </row>
    <row r="110" spans="1:3" x14ac:dyDescent="0.25">
      <c r="A110" s="65" t="s">
        <v>266</v>
      </c>
      <c r="B110" s="66" t="s">
        <v>273</v>
      </c>
      <c r="C110" s="67" t="s">
        <v>175</v>
      </c>
    </row>
    <row r="111" spans="1:3" x14ac:dyDescent="0.25">
      <c r="A111" s="65" t="s">
        <v>266</v>
      </c>
      <c r="B111" s="66" t="s">
        <v>273</v>
      </c>
      <c r="C111" s="67" t="s">
        <v>155</v>
      </c>
    </row>
    <row r="112" spans="1:3" x14ac:dyDescent="0.25">
      <c r="A112" s="65" t="s">
        <v>266</v>
      </c>
      <c r="B112" s="66" t="s">
        <v>273</v>
      </c>
      <c r="C112" s="67" t="s">
        <v>275</v>
      </c>
    </row>
    <row r="113" spans="1:3" x14ac:dyDescent="0.25">
      <c r="A113" s="65" t="s">
        <v>266</v>
      </c>
      <c r="B113" s="66" t="s">
        <v>273</v>
      </c>
      <c r="C113" s="67" t="s">
        <v>276</v>
      </c>
    </row>
    <row r="114" spans="1:3" x14ac:dyDescent="0.25">
      <c r="A114" s="65" t="s">
        <v>266</v>
      </c>
      <c r="B114" s="66" t="s">
        <v>277</v>
      </c>
      <c r="C114" s="67" t="s">
        <v>278</v>
      </c>
    </row>
    <row r="115" spans="1:3" x14ac:dyDescent="0.25">
      <c r="A115" s="65" t="s">
        <v>266</v>
      </c>
      <c r="B115" s="66" t="s">
        <v>277</v>
      </c>
      <c r="C115" s="67" t="s">
        <v>279</v>
      </c>
    </row>
    <row r="116" spans="1:3" x14ac:dyDescent="0.25">
      <c r="A116" s="65" t="s">
        <v>266</v>
      </c>
      <c r="B116" s="66" t="s">
        <v>277</v>
      </c>
      <c r="C116" s="67" t="s">
        <v>280</v>
      </c>
    </row>
    <row r="117" spans="1:3" x14ac:dyDescent="0.25">
      <c r="A117" s="65" t="s">
        <v>266</v>
      </c>
      <c r="B117" s="66" t="s">
        <v>277</v>
      </c>
      <c r="C117" s="67" t="s">
        <v>281</v>
      </c>
    </row>
    <row r="118" spans="1:3" x14ac:dyDescent="0.25">
      <c r="A118" s="65" t="s">
        <v>266</v>
      </c>
      <c r="B118" s="66" t="s">
        <v>277</v>
      </c>
      <c r="C118" s="67" t="s">
        <v>271</v>
      </c>
    </row>
    <row r="119" spans="1:3" x14ac:dyDescent="0.25">
      <c r="A119" s="65" t="s">
        <v>266</v>
      </c>
      <c r="B119" s="66" t="s">
        <v>282</v>
      </c>
      <c r="C119" s="67" t="s">
        <v>283</v>
      </c>
    </row>
    <row r="120" spans="1:3" x14ac:dyDescent="0.25">
      <c r="A120" s="65" t="s">
        <v>266</v>
      </c>
      <c r="B120" s="66" t="s">
        <v>282</v>
      </c>
      <c r="C120" s="67" t="s">
        <v>284</v>
      </c>
    </row>
    <row r="121" spans="1:3" x14ac:dyDescent="0.25">
      <c r="A121" s="65" t="s">
        <v>266</v>
      </c>
      <c r="B121" s="66" t="s">
        <v>282</v>
      </c>
      <c r="C121" s="67" t="s">
        <v>285</v>
      </c>
    </row>
    <row r="122" spans="1:3" x14ac:dyDescent="0.25">
      <c r="A122" s="65" t="s">
        <v>266</v>
      </c>
      <c r="B122" s="66" t="s">
        <v>282</v>
      </c>
      <c r="C122" s="67" t="s">
        <v>286</v>
      </c>
    </row>
    <row r="123" spans="1:3" x14ac:dyDescent="0.25">
      <c r="A123" s="65" t="s">
        <v>266</v>
      </c>
      <c r="B123" s="66" t="s">
        <v>282</v>
      </c>
      <c r="C123" s="67" t="s">
        <v>287</v>
      </c>
    </row>
    <row r="124" spans="1:3" x14ac:dyDescent="0.25">
      <c r="A124" s="65" t="s">
        <v>266</v>
      </c>
      <c r="B124" s="66" t="s">
        <v>282</v>
      </c>
      <c r="C124" s="67" t="s">
        <v>288</v>
      </c>
    </row>
    <row r="125" spans="1:3" x14ac:dyDescent="0.25">
      <c r="A125" s="65" t="s">
        <v>266</v>
      </c>
      <c r="B125" s="66" t="s">
        <v>282</v>
      </c>
      <c r="C125" s="67" t="s">
        <v>289</v>
      </c>
    </row>
    <row r="126" spans="1:3" x14ac:dyDescent="0.25">
      <c r="A126" s="65" t="s">
        <v>266</v>
      </c>
      <c r="B126" s="66" t="s">
        <v>282</v>
      </c>
      <c r="C126" s="67" t="s">
        <v>166</v>
      </c>
    </row>
    <row r="127" spans="1:3" x14ac:dyDescent="0.25">
      <c r="A127" s="65" t="s">
        <v>266</v>
      </c>
      <c r="B127" s="66" t="s">
        <v>282</v>
      </c>
      <c r="C127" s="67" t="s">
        <v>290</v>
      </c>
    </row>
    <row r="128" spans="1:3" x14ac:dyDescent="0.25">
      <c r="A128" s="65" t="s">
        <v>266</v>
      </c>
      <c r="B128" s="66" t="s">
        <v>282</v>
      </c>
      <c r="C128" s="67" t="s">
        <v>291</v>
      </c>
    </row>
    <row r="129" spans="1:3" x14ac:dyDescent="0.25">
      <c r="A129" s="65" t="s">
        <v>266</v>
      </c>
      <c r="B129" s="66" t="s">
        <v>282</v>
      </c>
      <c r="C129" s="67" t="s">
        <v>292</v>
      </c>
    </row>
    <row r="130" spans="1:3" x14ac:dyDescent="0.25">
      <c r="A130" s="65" t="s">
        <v>266</v>
      </c>
      <c r="B130" s="66" t="s">
        <v>282</v>
      </c>
      <c r="C130" s="67" t="s">
        <v>293</v>
      </c>
    </row>
    <row r="131" spans="1:3" x14ac:dyDescent="0.25">
      <c r="A131" s="65" t="s">
        <v>266</v>
      </c>
      <c r="B131" s="66" t="s">
        <v>282</v>
      </c>
      <c r="C131" s="67" t="s">
        <v>294</v>
      </c>
    </row>
    <row r="132" spans="1:3" x14ac:dyDescent="0.25">
      <c r="A132" s="65" t="s">
        <v>266</v>
      </c>
      <c r="B132" s="66" t="s">
        <v>282</v>
      </c>
      <c r="C132" s="67" t="s">
        <v>295</v>
      </c>
    </row>
    <row r="133" spans="1:3" x14ac:dyDescent="0.25">
      <c r="A133" s="65" t="s">
        <v>266</v>
      </c>
      <c r="B133" s="66" t="s">
        <v>282</v>
      </c>
      <c r="C133" s="67" t="s">
        <v>296</v>
      </c>
    </row>
    <row r="134" spans="1:3" x14ac:dyDescent="0.25">
      <c r="A134" s="65" t="s">
        <v>266</v>
      </c>
      <c r="B134" s="66" t="s">
        <v>282</v>
      </c>
      <c r="C134" s="67" t="s">
        <v>297</v>
      </c>
    </row>
    <row r="135" spans="1:3" x14ac:dyDescent="0.25">
      <c r="A135" s="65" t="s">
        <v>266</v>
      </c>
      <c r="B135" s="66" t="s">
        <v>282</v>
      </c>
      <c r="C135" s="67" t="s">
        <v>298</v>
      </c>
    </row>
    <row r="136" spans="1:3" x14ac:dyDescent="0.25">
      <c r="A136" s="65" t="s">
        <v>266</v>
      </c>
      <c r="B136" s="66" t="s">
        <v>282</v>
      </c>
      <c r="C136" s="67" t="s">
        <v>299</v>
      </c>
    </row>
    <row r="137" spans="1:3" x14ac:dyDescent="0.25">
      <c r="A137" s="65" t="s">
        <v>266</v>
      </c>
      <c r="B137" s="66" t="s">
        <v>282</v>
      </c>
      <c r="C137" s="67" t="s">
        <v>300</v>
      </c>
    </row>
    <row r="138" spans="1:3" x14ac:dyDescent="0.25">
      <c r="A138" s="65" t="s">
        <v>266</v>
      </c>
      <c r="B138" s="66" t="s">
        <v>282</v>
      </c>
      <c r="C138" s="67" t="s">
        <v>301</v>
      </c>
    </row>
    <row r="139" spans="1:3" x14ac:dyDescent="0.25">
      <c r="A139" s="65" t="s">
        <v>266</v>
      </c>
      <c r="B139" s="66" t="s">
        <v>282</v>
      </c>
      <c r="C139" s="67" t="s">
        <v>302</v>
      </c>
    </row>
    <row r="140" spans="1:3" x14ac:dyDescent="0.25">
      <c r="A140" s="65" t="s">
        <v>266</v>
      </c>
      <c r="B140" s="66" t="s">
        <v>282</v>
      </c>
      <c r="C140" s="67" t="s">
        <v>303</v>
      </c>
    </row>
    <row r="141" spans="1:3" x14ac:dyDescent="0.25">
      <c r="A141" s="65" t="s">
        <v>266</v>
      </c>
      <c r="B141" s="66" t="s">
        <v>282</v>
      </c>
      <c r="C141" s="67" t="s">
        <v>304</v>
      </c>
    </row>
    <row r="142" spans="1:3" x14ac:dyDescent="0.25">
      <c r="A142" s="65" t="s">
        <v>266</v>
      </c>
      <c r="B142" s="66" t="s">
        <v>282</v>
      </c>
      <c r="C142" s="67" t="s">
        <v>305</v>
      </c>
    </row>
    <row r="143" spans="1:3" x14ac:dyDescent="0.25">
      <c r="A143" s="65" t="s">
        <v>266</v>
      </c>
      <c r="B143" s="66" t="s">
        <v>282</v>
      </c>
      <c r="C143" s="67" t="s">
        <v>306</v>
      </c>
    </row>
    <row r="144" spans="1:3" x14ac:dyDescent="0.25">
      <c r="A144" s="65" t="s">
        <v>266</v>
      </c>
      <c r="B144" s="66" t="s">
        <v>282</v>
      </c>
      <c r="C144" s="67" t="s">
        <v>307</v>
      </c>
    </row>
    <row r="145" spans="1:3" x14ac:dyDescent="0.25">
      <c r="A145" s="65" t="s">
        <v>266</v>
      </c>
      <c r="B145" s="66" t="s">
        <v>282</v>
      </c>
      <c r="C145" s="67" t="s">
        <v>308</v>
      </c>
    </row>
    <row r="146" spans="1:3" x14ac:dyDescent="0.25">
      <c r="A146" s="65" t="s">
        <v>266</v>
      </c>
      <c r="B146" s="66" t="s">
        <v>282</v>
      </c>
      <c r="C146" s="67" t="s">
        <v>309</v>
      </c>
    </row>
    <row r="147" spans="1:3" x14ac:dyDescent="0.25">
      <c r="A147" s="65" t="s">
        <v>266</v>
      </c>
      <c r="B147" s="66" t="s">
        <v>282</v>
      </c>
      <c r="C147" s="67" t="s">
        <v>310</v>
      </c>
    </row>
    <row r="148" spans="1:3" x14ac:dyDescent="0.25">
      <c r="A148" s="65" t="s">
        <v>266</v>
      </c>
      <c r="B148" s="66" t="s">
        <v>282</v>
      </c>
      <c r="C148" s="67" t="s">
        <v>311</v>
      </c>
    </row>
    <row r="149" spans="1:3" x14ac:dyDescent="0.25">
      <c r="A149" s="65" t="s">
        <v>266</v>
      </c>
      <c r="B149" s="66" t="s">
        <v>282</v>
      </c>
      <c r="C149" s="67" t="s">
        <v>312</v>
      </c>
    </row>
    <row r="150" spans="1:3" x14ac:dyDescent="0.25">
      <c r="A150" s="65" t="s">
        <v>266</v>
      </c>
      <c r="B150" s="66" t="s">
        <v>282</v>
      </c>
      <c r="C150" s="67" t="s">
        <v>313</v>
      </c>
    </row>
    <row r="151" spans="1:3" x14ac:dyDescent="0.25">
      <c r="A151" s="65" t="s">
        <v>266</v>
      </c>
      <c r="B151" s="66" t="s">
        <v>282</v>
      </c>
      <c r="C151" s="67" t="s">
        <v>314</v>
      </c>
    </row>
    <row r="152" spans="1:3" x14ac:dyDescent="0.25">
      <c r="A152" s="65" t="s">
        <v>266</v>
      </c>
      <c r="B152" s="66" t="s">
        <v>282</v>
      </c>
      <c r="C152" s="67" t="s">
        <v>315</v>
      </c>
    </row>
    <row r="153" spans="1:3" x14ac:dyDescent="0.25">
      <c r="A153" s="65" t="s">
        <v>266</v>
      </c>
      <c r="B153" s="66" t="s">
        <v>282</v>
      </c>
      <c r="C153" s="67" t="s">
        <v>316</v>
      </c>
    </row>
    <row r="154" spans="1:3" x14ac:dyDescent="0.25">
      <c r="A154" s="65" t="s">
        <v>266</v>
      </c>
      <c r="B154" s="66" t="s">
        <v>282</v>
      </c>
      <c r="C154" s="67" t="s">
        <v>317</v>
      </c>
    </row>
    <row r="155" spans="1:3" x14ac:dyDescent="0.25">
      <c r="A155" s="65" t="s">
        <v>266</v>
      </c>
      <c r="B155" s="66" t="s">
        <v>318</v>
      </c>
      <c r="C155" s="67" t="s">
        <v>319</v>
      </c>
    </row>
    <row r="156" spans="1:3" x14ac:dyDescent="0.25">
      <c r="A156" s="65" t="s">
        <v>266</v>
      </c>
      <c r="B156" s="66" t="s">
        <v>318</v>
      </c>
      <c r="C156" s="67" t="s">
        <v>231</v>
      </c>
    </row>
    <row r="157" spans="1:3" x14ac:dyDescent="0.25">
      <c r="A157" s="65" t="s">
        <v>266</v>
      </c>
      <c r="B157" s="66" t="s">
        <v>318</v>
      </c>
      <c r="C157" s="67" t="s">
        <v>320</v>
      </c>
    </row>
    <row r="158" spans="1:3" x14ac:dyDescent="0.25">
      <c r="A158" s="65" t="s">
        <v>266</v>
      </c>
      <c r="B158" s="66" t="s">
        <v>318</v>
      </c>
      <c r="C158" s="67" t="s">
        <v>272</v>
      </c>
    </row>
    <row r="159" spans="1:3" x14ac:dyDescent="0.25">
      <c r="A159" s="65" t="s">
        <v>266</v>
      </c>
      <c r="B159" s="66" t="s">
        <v>318</v>
      </c>
      <c r="C159" s="67" t="s">
        <v>321</v>
      </c>
    </row>
    <row r="160" spans="1:3" x14ac:dyDescent="0.25">
      <c r="A160" s="65" t="s">
        <v>322</v>
      </c>
      <c r="B160" s="66" t="s">
        <v>323</v>
      </c>
      <c r="C160" s="67" t="s">
        <v>324</v>
      </c>
    </row>
    <row r="161" spans="1:3" x14ac:dyDescent="0.25">
      <c r="A161" s="65" t="s">
        <v>322</v>
      </c>
      <c r="B161" s="66" t="s">
        <v>323</v>
      </c>
      <c r="C161" s="67" t="s">
        <v>325</v>
      </c>
    </row>
    <row r="162" spans="1:3" x14ac:dyDescent="0.25">
      <c r="A162" s="65" t="s">
        <v>322</v>
      </c>
      <c r="B162" s="66" t="s">
        <v>323</v>
      </c>
      <c r="C162" s="67" t="s">
        <v>326</v>
      </c>
    </row>
    <row r="163" spans="1:3" x14ac:dyDescent="0.25">
      <c r="A163" s="65" t="s">
        <v>322</v>
      </c>
      <c r="B163" s="66" t="s">
        <v>323</v>
      </c>
      <c r="C163" s="67" t="s">
        <v>327</v>
      </c>
    </row>
    <row r="164" spans="1:3" x14ac:dyDescent="0.25">
      <c r="A164" s="65" t="s">
        <v>322</v>
      </c>
      <c r="B164" s="66" t="s">
        <v>323</v>
      </c>
      <c r="C164" s="67" t="s">
        <v>328</v>
      </c>
    </row>
    <row r="165" spans="1:3" x14ac:dyDescent="0.25">
      <c r="A165" s="65" t="s">
        <v>322</v>
      </c>
      <c r="B165" s="66" t="s">
        <v>329</v>
      </c>
      <c r="C165" s="67" t="s">
        <v>330</v>
      </c>
    </row>
    <row r="166" spans="1:3" x14ac:dyDescent="0.25">
      <c r="A166" s="65" t="s">
        <v>322</v>
      </c>
      <c r="B166" s="66" t="s">
        <v>329</v>
      </c>
      <c r="C166" s="67" t="s">
        <v>331</v>
      </c>
    </row>
    <row r="167" spans="1:3" x14ac:dyDescent="0.25">
      <c r="A167" s="65" t="s">
        <v>322</v>
      </c>
      <c r="B167" s="66" t="s">
        <v>329</v>
      </c>
      <c r="C167" s="67" t="s">
        <v>332</v>
      </c>
    </row>
    <row r="168" spans="1:3" x14ac:dyDescent="0.25">
      <c r="A168" s="65" t="s">
        <v>322</v>
      </c>
      <c r="B168" s="66" t="s">
        <v>329</v>
      </c>
      <c r="C168" s="67" t="s">
        <v>333</v>
      </c>
    </row>
    <row r="169" spans="1:3" x14ac:dyDescent="0.25">
      <c r="A169" s="65" t="s">
        <v>322</v>
      </c>
      <c r="B169" s="66" t="s">
        <v>329</v>
      </c>
      <c r="C169" s="67" t="s">
        <v>334</v>
      </c>
    </row>
    <row r="170" spans="1:3" x14ac:dyDescent="0.25">
      <c r="A170" s="65" t="s">
        <v>322</v>
      </c>
      <c r="B170" s="66" t="s">
        <v>335</v>
      </c>
      <c r="C170" s="67" t="s">
        <v>270</v>
      </c>
    </row>
    <row r="171" spans="1:3" x14ac:dyDescent="0.25">
      <c r="A171" s="65" t="s">
        <v>322</v>
      </c>
      <c r="B171" s="66" t="s">
        <v>335</v>
      </c>
      <c r="C171" s="67" t="s">
        <v>336</v>
      </c>
    </row>
    <row r="172" spans="1:3" x14ac:dyDescent="0.25">
      <c r="A172" s="65" t="s">
        <v>322</v>
      </c>
      <c r="B172" s="66" t="s">
        <v>335</v>
      </c>
      <c r="C172" s="67" t="s">
        <v>337</v>
      </c>
    </row>
    <row r="173" spans="1:3" x14ac:dyDescent="0.25">
      <c r="A173" s="65" t="s">
        <v>322</v>
      </c>
      <c r="B173" s="66" t="s">
        <v>335</v>
      </c>
      <c r="C173" s="67" t="s">
        <v>338</v>
      </c>
    </row>
    <row r="174" spans="1:3" x14ac:dyDescent="0.25">
      <c r="A174" s="65" t="s">
        <v>322</v>
      </c>
      <c r="B174" s="66" t="s">
        <v>335</v>
      </c>
      <c r="C174" s="67" t="s">
        <v>271</v>
      </c>
    </row>
    <row r="175" spans="1:3" x14ac:dyDescent="0.25">
      <c r="A175" s="65" t="s">
        <v>322</v>
      </c>
      <c r="B175" s="66" t="s">
        <v>339</v>
      </c>
      <c r="C175" s="67" t="s">
        <v>180</v>
      </c>
    </row>
    <row r="176" spans="1:3" x14ac:dyDescent="0.25">
      <c r="A176" s="65" t="s">
        <v>322</v>
      </c>
      <c r="B176" s="66" t="s">
        <v>339</v>
      </c>
      <c r="C176" s="67" t="s">
        <v>340</v>
      </c>
    </row>
    <row r="177" spans="1:3" x14ac:dyDescent="0.25">
      <c r="A177" s="65" t="s">
        <v>322</v>
      </c>
      <c r="B177" s="66" t="s">
        <v>339</v>
      </c>
      <c r="C177" s="67" t="s">
        <v>341</v>
      </c>
    </row>
    <row r="178" spans="1:3" x14ac:dyDescent="0.25">
      <c r="A178" s="65" t="s">
        <v>322</v>
      </c>
      <c r="B178" s="66" t="s">
        <v>339</v>
      </c>
      <c r="C178" s="67" t="s">
        <v>342</v>
      </c>
    </row>
    <row r="179" spans="1:3" x14ac:dyDescent="0.25">
      <c r="A179" s="65" t="s">
        <v>322</v>
      </c>
      <c r="B179" s="66" t="s">
        <v>339</v>
      </c>
      <c r="C179" s="67" t="s">
        <v>343</v>
      </c>
    </row>
    <row r="180" spans="1:3" x14ac:dyDescent="0.25">
      <c r="A180" s="65" t="s">
        <v>322</v>
      </c>
      <c r="B180" s="66" t="s">
        <v>331</v>
      </c>
      <c r="C180" s="67" t="s">
        <v>344</v>
      </c>
    </row>
    <row r="181" spans="1:3" x14ac:dyDescent="0.25">
      <c r="A181" s="65" t="s">
        <v>322</v>
      </c>
      <c r="B181" s="66" t="s">
        <v>331</v>
      </c>
      <c r="C181" s="67" t="s">
        <v>345</v>
      </c>
    </row>
    <row r="182" spans="1:3" x14ac:dyDescent="0.25">
      <c r="A182" s="65" t="s">
        <v>322</v>
      </c>
      <c r="B182" s="66" t="s">
        <v>331</v>
      </c>
      <c r="C182" s="67" t="s">
        <v>346</v>
      </c>
    </row>
    <row r="183" spans="1:3" x14ac:dyDescent="0.25">
      <c r="A183" s="65" t="s">
        <v>322</v>
      </c>
      <c r="B183" s="66" t="s">
        <v>331</v>
      </c>
      <c r="C183" s="67" t="s">
        <v>347</v>
      </c>
    </row>
    <row r="184" spans="1:3" x14ac:dyDescent="0.25">
      <c r="A184" s="68" t="s">
        <v>322</v>
      </c>
      <c r="B184" s="69" t="s">
        <v>331</v>
      </c>
      <c r="C184" s="70" t="s">
        <v>348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F585ACBC-F1E1-45AB-8586-6433B1B340BB}">
  <ds:schemaRefs/>
</ds:datastoreItem>
</file>

<file path=customXml/itemProps2.xml><?xml version="1.0" encoding="utf-8"?>
<ds:datastoreItem xmlns:ds="http://schemas.openxmlformats.org/officeDocument/2006/customXml" ds:itemID="{B0BEBAEC-704A-4E5F-AD5D-6DBD05214B34}">
  <ds:schemaRefs/>
</ds:datastoreItem>
</file>

<file path=customXml/itemProps3.xml><?xml version="1.0" encoding="utf-8"?>
<ds:datastoreItem xmlns:ds="http://schemas.openxmlformats.org/officeDocument/2006/customXml" ds:itemID="{CA94B7B3-E210-40DA-AA12-10D8AA2606A5}">
  <ds:schemaRefs/>
</ds:datastoreItem>
</file>

<file path=customXml/itemProps4.xml><?xml version="1.0" encoding="utf-8"?>
<ds:datastoreItem xmlns:ds="http://schemas.openxmlformats.org/officeDocument/2006/customXml" ds:itemID="{57EB66DC-E59E-48EB-8DCA-E44E2F563481}">
  <ds:schemaRefs/>
</ds:datastoreItem>
</file>

<file path=customXml/itemProps5.xml><?xml version="1.0" encoding="utf-8"?>
<ds:datastoreItem xmlns:ds="http://schemas.openxmlformats.org/officeDocument/2006/customXml" ds:itemID="{4C74DAC1-9D8A-460F-8568-97FFDCAF03D8}">
  <ds:schemaRefs/>
</ds:datastoreItem>
</file>

<file path=customXml/itemProps6.xml><?xml version="1.0" encoding="utf-8"?>
<ds:datastoreItem xmlns:ds="http://schemas.openxmlformats.org/officeDocument/2006/customXml" ds:itemID="{AA3CFD02-B8E6-491D-A0B8-0B2A8A835357}">
  <ds:schemaRefs/>
</ds:datastoreItem>
</file>

<file path=customXml/itemProps7.xml><?xml version="1.0" encoding="utf-8"?>
<ds:datastoreItem xmlns:ds="http://schemas.openxmlformats.org/officeDocument/2006/customXml" ds:itemID="{AD1748CC-9B1F-4034-A5C9-0DE2A26BA645}">
  <ds:schemaRefs/>
</ds:datastoreItem>
</file>

<file path=customXml/itemProps8.xml><?xml version="1.0" encoding="utf-8"?>
<ds:datastoreItem xmlns:ds="http://schemas.openxmlformats.org/officeDocument/2006/customXml" ds:itemID="{A65F98AF-F2DC-426D-B91D-63F3E4C4A476}">
  <ds:schemaRefs/>
</ds:datastoreItem>
</file>

<file path=customXml/itemProps9.xml><?xml version="1.0" encoding="utf-8"?>
<ds:datastoreItem xmlns:ds="http://schemas.openxmlformats.org/officeDocument/2006/customXml" ds:itemID="{6FDE6734-C1B3-4E09-A2A1-3469EF3C361D}">
  <ds:schemaRefs/>
</ds:datastoreItem>
</file>

<file path=customXml/itemProps10.xml><?xml version="1.0" encoding="utf-8"?>
<ds:datastoreItem xmlns:ds="http://schemas.openxmlformats.org/officeDocument/2006/customXml" ds:itemID="{605DD24E-BD21-4779-9CD7-37EA98105D19}">
  <ds:schemaRefs/>
</ds:datastoreItem>
</file>

<file path=customXml/itemProps11.xml><?xml version="1.0" encoding="utf-8"?>
<ds:datastoreItem xmlns:ds="http://schemas.openxmlformats.org/officeDocument/2006/customXml" ds:itemID="{9A2E4E2A-28D7-4440-9D73-58421385C48D}">
  <ds:schemaRefs/>
</ds:datastoreItem>
</file>

<file path=customXml/itemProps12.xml><?xml version="1.0" encoding="utf-8"?>
<ds:datastoreItem xmlns:ds="http://schemas.openxmlformats.org/officeDocument/2006/customXml" ds:itemID="{C9D6E300-6CD3-4C5A-8A8E-6742F7467AC3}">
  <ds:schemaRefs/>
</ds:datastoreItem>
</file>

<file path=customXml/itemProps13.xml><?xml version="1.0" encoding="utf-8"?>
<ds:datastoreItem xmlns:ds="http://schemas.openxmlformats.org/officeDocument/2006/customXml" ds:itemID="{83B6A28D-FE58-4D0C-8EB7-4D9C511FF159}">
  <ds:schemaRefs/>
</ds:datastoreItem>
</file>

<file path=customXml/itemProps14.xml><?xml version="1.0" encoding="utf-8"?>
<ds:datastoreItem xmlns:ds="http://schemas.openxmlformats.org/officeDocument/2006/customXml" ds:itemID="{77BB4CD2-AE6B-4C85-BE9B-DED040F62B94}">
  <ds:schemaRefs/>
</ds:datastoreItem>
</file>

<file path=customXml/itemProps15.xml><?xml version="1.0" encoding="utf-8"?>
<ds:datastoreItem xmlns:ds="http://schemas.openxmlformats.org/officeDocument/2006/customXml" ds:itemID="{BA6E1CF3-FAC2-45BE-8EC3-36A81364E67A}">
  <ds:schemaRefs/>
</ds:datastoreItem>
</file>

<file path=customXml/itemProps16.xml><?xml version="1.0" encoding="utf-8"?>
<ds:datastoreItem xmlns:ds="http://schemas.openxmlformats.org/officeDocument/2006/customXml" ds:itemID="{5883FB86-86BB-4B55-B1EE-C4E70D9D76AA}">
  <ds:schemaRefs/>
</ds:datastoreItem>
</file>

<file path=customXml/itemProps17.xml><?xml version="1.0" encoding="utf-8"?>
<ds:datastoreItem xmlns:ds="http://schemas.openxmlformats.org/officeDocument/2006/customXml" ds:itemID="{C832A093-6C82-43E7-95E2-D751ACD71BDA}">
  <ds:schemaRefs/>
</ds:datastoreItem>
</file>

<file path=customXml/itemProps18.xml><?xml version="1.0" encoding="utf-8"?>
<ds:datastoreItem xmlns:ds="http://schemas.openxmlformats.org/officeDocument/2006/customXml" ds:itemID="{D910BBA3-5215-4939-9E7C-A2F819DB2D13}">
  <ds:schemaRefs/>
</ds:datastoreItem>
</file>

<file path=customXml/itemProps19.xml><?xml version="1.0" encoding="utf-8"?>
<ds:datastoreItem xmlns:ds="http://schemas.openxmlformats.org/officeDocument/2006/customXml" ds:itemID="{8445242A-04F9-4AC1-BFF8-0FE1225A730B}">
  <ds:schemaRefs/>
</ds:datastoreItem>
</file>

<file path=customXml/itemProps20.xml><?xml version="1.0" encoding="utf-8"?>
<ds:datastoreItem xmlns:ds="http://schemas.openxmlformats.org/officeDocument/2006/customXml" ds:itemID="{0BCD47F4-E1EF-4E96-920F-8E81CFC39D1D}">
  <ds:schemaRefs/>
</ds:datastoreItem>
</file>

<file path=customXml/itemProps21.xml><?xml version="1.0" encoding="utf-8"?>
<ds:datastoreItem xmlns:ds="http://schemas.openxmlformats.org/officeDocument/2006/customXml" ds:itemID="{5EA09B46-84A2-4812-9D19-F3486FAAEA89}">
  <ds:schemaRefs/>
</ds:datastoreItem>
</file>

<file path=customXml/itemProps22.xml><?xml version="1.0" encoding="utf-8"?>
<ds:datastoreItem xmlns:ds="http://schemas.openxmlformats.org/officeDocument/2006/customXml" ds:itemID="{CADD7E32-85E8-4448-8122-09CD1D9813B3}">
  <ds:schemaRefs/>
</ds:datastoreItem>
</file>

<file path=customXml/itemProps23.xml><?xml version="1.0" encoding="utf-8"?>
<ds:datastoreItem xmlns:ds="http://schemas.openxmlformats.org/officeDocument/2006/customXml" ds:itemID="{392CA777-054E-43F2-8EC6-584F09A2B4E5}">
  <ds:schemaRefs/>
</ds:datastoreItem>
</file>

<file path=customXml/itemProps24.xml><?xml version="1.0" encoding="utf-8"?>
<ds:datastoreItem xmlns:ds="http://schemas.openxmlformats.org/officeDocument/2006/customXml" ds:itemID="{7F19A2A0-1406-4CD5-9503-DADA2D2431A4}">
  <ds:schemaRefs/>
</ds:datastoreItem>
</file>

<file path=customXml/itemProps25.xml><?xml version="1.0" encoding="utf-8"?>
<ds:datastoreItem xmlns:ds="http://schemas.openxmlformats.org/officeDocument/2006/customXml" ds:itemID="{98A2B634-37EF-4C79-BF4A-EFC98F72AF62}">
  <ds:schemaRefs/>
</ds:datastoreItem>
</file>

<file path=customXml/itemProps26.xml><?xml version="1.0" encoding="utf-8"?>
<ds:datastoreItem xmlns:ds="http://schemas.openxmlformats.org/officeDocument/2006/customXml" ds:itemID="{3C368919-A072-4C00-A444-6765CF4F5415}">
  <ds:schemaRefs/>
</ds:datastoreItem>
</file>

<file path=customXml/itemProps27.xml><?xml version="1.0" encoding="utf-8"?>
<ds:datastoreItem xmlns:ds="http://schemas.openxmlformats.org/officeDocument/2006/customXml" ds:itemID="{DB002088-7FEF-4B68-89A4-8A4D6AE76DAE}">
  <ds:schemaRefs/>
</ds:datastoreItem>
</file>

<file path=customXml/itemProps28.xml><?xml version="1.0" encoding="utf-8"?>
<ds:datastoreItem xmlns:ds="http://schemas.openxmlformats.org/officeDocument/2006/customXml" ds:itemID="{EC3DAB91-4777-49C6-B67C-CA9527E3CFA4}">
  <ds:schemaRefs/>
</ds:datastoreItem>
</file>

<file path=customXml/itemProps29.xml><?xml version="1.0" encoding="utf-8"?>
<ds:datastoreItem xmlns:ds="http://schemas.openxmlformats.org/officeDocument/2006/customXml" ds:itemID="{318E705E-9367-4001-A9BF-79574307283F}">
  <ds:schemaRefs/>
</ds:datastoreItem>
</file>

<file path=customXml/itemProps30.xml><?xml version="1.0" encoding="utf-8"?>
<ds:datastoreItem xmlns:ds="http://schemas.openxmlformats.org/officeDocument/2006/customXml" ds:itemID="{69A0A170-C1F7-4B56-917C-7DD7F7D1875E}">
  <ds:schemaRefs/>
</ds:datastoreItem>
</file>

<file path=customXml/itemProps31.xml><?xml version="1.0" encoding="utf-8"?>
<ds:datastoreItem xmlns:ds="http://schemas.openxmlformats.org/officeDocument/2006/customXml" ds:itemID="{74B426B6-AC38-4F1A-A9CC-584F9CC4A7FB}">
  <ds:schemaRefs/>
</ds:datastoreItem>
</file>

<file path=customXml/itemProps32.xml><?xml version="1.0" encoding="utf-8"?>
<ds:datastoreItem xmlns:ds="http://schemas.openxmlformats.org/officeDocument/2006/customXml" ds:itemID="{56B6FE54-54C9-4DDF-B873-C6726CB9638D}">
  <ds:schemaRefs/>
</ds:datastoreItem>
</file>

<file path=customXml/itemProps33.xml><?xml version="1.0" encoding="utf-8"?>
<ds:datastoreItem xmlns:ds="http://schemas.openxmlformats.org/officeDocument/2006/customXml" ds:itemID="{73BA0F30-D0B5-404B-A693-67C506FA1911}">
  <ds:schemaRefs/>
</ds:datastoreItem>
</file>

<file path=customXml/itemProps34.xml><?xml version="1.0" encoding="utf-8"?>
<ds:datastoreItem xmlns:ds="http://schemas.openxmlformats.org/officeDocument/2006/customXml" ds:itemID="{FEDFFF05-A107-4C57-8EE4-ED26A622D669}">
  <ds:schemaRefs/>
</ds:datastoreItem>
</file>

<file path=customXml/itemProps35.xml><?xml version="1.0" encoding="utf-8"?>
<ds:datastoreItem xmlns:ds="http://schemas.openxmlformats.org/officeDocument/2006/customXml" ds:itemID="{1B02B680-53BF-44AB-8766-FD3485A6E651}">
  <ds:schemaRefs/>
</ds:datastoreItem>
</file>

<file path=customXml/itemProps36.xml><?xml version="1.0" encoding="utf-8"?>
<ds:datastoreItem xmlns:ds="http://schemas.openxmlformats.org/officeDocument/2006/customXml" ds:itemID="{9BE3AC33-44A6-426F-8F06-02EDA386907F}">
  <ds:schemaRefs/>
</ds:datastoreItem>
</file>

<file path=customXml/itemProps37.xml><?xml version="1.0" encoding="utf-8"?>
<ds:datastoreItem xmlns:ds="http://schemas.openxmlformats.org/officeDocument/2006/customXml" ds:itemID="{02195A1E-46BA-4E90-9880-D0083F3DA490}">
  <ds:schemaRefs/>
</ds:datastoreItem>
</file>

<file path=customXml/itemProps38.xml><?xml version="1.0" encoding="utf-8"?>
<ds:datastoreItem xmlns:ds="http://schemas.openxmlformats.org/officeDocument/2006/customXml" ds:itemID="{9AB16E27-3576-44C9-8D49-3177CE872400}">
  <ds:schemaRefs/>
</ds:datastoreItem>
</file>

<file path=customXml/itemProps39.xml><?xml version="1.0" encoding="utf-8"?>
<ds:datastoreItem xmlns:ds="http://schemas.openxmlformats.org/officeDocument/2006/customXml" ds:itemID="{B8E58073-D86E-44CA-8EAF-57354E75D0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Source_Données</vt:lpstr>
      <vt:lpstr>TCD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</dc:creator>
  <cp:lastModifiedBy>Bernard</cp:lastModifiedBy>
  <cp:lastPrinted>2025-09-02T06:10:05Z</cp:lastPrinted>
  <dcterms:created xsi:type="dcterms:W3CDTF">2025-08-18T06:50:55Z</dcterms:created>
  <dcterms:modified xsi:type="dcterms:W3CDTF">2025-09-03T07:53:03Z</dcterms:modified>
</cp:coreProperties>
</file>